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51196F13-6AD0-C1B8-E2B4-A1F9AE17003E}"/>
  <workbookPr filterPrivacy="1" codeName="ЭтаКнига"/>
  <bookViews>
    <workbookView xWindow="0" yWindow="0" windowWidth="22260" windowHeight="12645"/>
  </bookViews>
  <sheets>
    <sheet name="Лист1" sheetId="1" r:id="rId1"/>
  </sheets>
  <definedNames>
    <definedName name="_xlchart.v1.0" hidden="1">Лист1!$X$13:$AL$13</definedName>
    <definedName name="_xlchart.v1.1" hidden="1">Лист1!$X$20:$AL$20</definedName>
    <definedName name="_xlchart.v1.2" hidden="1">Лист1!$X$26:$AL$26</definedName>
    <definedName name="_xlchart.v1.3" hidden="1">Лист1!$X$7:$AL$7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3" i="1" l="1"/>
  <c r="X12" i="1"/>
  <c r="Y12" i="1" s="1"/>
  <c r="AL11" i="1"/>
  <c r="AK11" i="1"/>
  <c r="AJ11" i="1"/>
  <c r="AI11" i="1"/>
  <c r="AH11" i="1"/>
  <c r="AG11" i="1"/>
  <c r="AF11" i="1"/>
  <c r="AE11" i="1"/>
  <c r="AD11" i="1"/>
  <c r="AC11" i="1"/>
  <c r="AB11" i="1"/>
  <c r="AA11" i="1"/>
  <c r="Z11" i="1"/>
  <c r="Y11" i="1"/>
  <c r="X11" i="1"/>
  <c r="AL10" i="1"/>
  <c r="AK10" i="1"/>
  <c r="AJ10" i="1"/>
  <c r="AI10" i="1"/>
  <c r="AH10" i="1"/>
  <c r="AG10" i="1"/>
  <c r="AF10" i="1"/>
  <c r="AE10" i="1"/>
  <c r="AD10" i="1"/>
  <c r="AC10" i="1"/>
  <c r="AB10" i="1"/>
  <c r="AA10" i="1"/>
  <c r="Z10" i="1"/>
  <c r="Y10" i="1"/>
  <c r="X10" i="1"/>
  <c r="AL9" i="1"/>
  <c r="AK9" i="1"/>
  <c r="AJ9" i="1"/>
  <c r="AI9" i="1"/>
  <c r="AH9" i="1"/>
  <c r="AG9" i="1"/>
  <c r="AF9" i="1"/>
  <c r="AE9" i="1"/>
  <c r="AD9" i="1"/>
  <c r="AC9" i="1"/>
  <c r="AB9" i="1"/>
  <c r="AA9" i="1"/>
  <c r="Z9" i="1"/>
  <c r="Y9" i="1"/>
  <c r="X9" i="1"/>
  <c r="AL8" i="1"/>
  <c r="AK8" i="1"/>
  <c r="AJ8" i="1"/>
  <c r="AI8" i="1"/>
  <c r="AH8" i="1"/>
  <c r="AG8" i="1"/>
  <c r="AF8" i="1"/>
  <c r="AE8" i="1"/>
  <c r="AD8" i="1"/>
  <c r="AC8" i="1"/>
  <c r="AB8" i="1"/>
  <c r="AA8" i="1"/>
  <c r="Z8" i="1"/>
  <c r="Y8" i="1"/>
  <c r="X8" i="1"/>
  <c r="AL7" i="1"/>
  <c r="AK7" i="1"/>
  <c r="AJ7" i="1"/>
  <c r="AI7" i="1"/>
  <c r="AH7" i="1"/>
  <c r="AG7" i="1"/>
  <c r="AF7" i="1"/>
  <c r="AE7" i="1"/>
  <c r="AD7" i="1"/>
  <c r="AC7" i="1"/>
  <c r="AB7" i="1"/>
  <c r="AA7" i="1"/>
  <c r="Z7" i="1"/>
  <c r="Y7" i="1"/>
  <c r="X7" i="1"/>
  <c r="AL6" i="1"/>
  <c r="AK6" i="1"/>
  <c r="AJ6" i="1"/>
  <c r="AI6" i="1"/>
  <c r="AH6" i="1"/>
  <c r="AG6" i="1"/>
  <c r="AF6" i="1"/>
  <c r="AE6" i="1"/>
  <c r="AD6" i="1"/>
  <c r="AC6" i="1"/>
  <c r="AB6" i="1"/>
  <c r="AA6" i="1"/>
  <c r="Z6" i="1"/>
  <c r="Y6" i="1"/>
  <c r="X6" i="1"/>
  <c r="AE26" i="1"/>
  <c r="X26" i="1"/>
  <c r="AL25" i="1"/>
  <c r="AL26" i="1" s="1"/>
  <c r="AJ25" i="1"/>
  <c r="AJ26" i="1" s="1"/>
  <c r="AI25" i="1"/>
  <c r="AI26" i="1" s="1"/>
  <c r="AH25" i="1"/>
  <c r="AH26" i="1" s="1"/>
  <c r="AF25" i="1"/>
  <c r="AF26" i="1" s="1"/>
  <c r="AE25" i="1"/>
  <c r="AD25" i="1"/>
  <c r="AD26" i="1" s="1"/>
  <c r="AB25" i="1"/>
  <c r="AB26" i="1" s="1"/>
  <c r="AA25" i="1"/>
  <c r="AA26" i="1" s="1"/>
  <c r="Z25" i="1"/>
  <c r="Z26" i="1" s="1"/>
  <c r="X25" i="1"/>
  <c r="AL24" i="1"/>
  <c r="AK24" i="1"/>
  <c r="AK25" i="1" s="1"/>
  <c r="AK26" i="1" s="1"/>
  <c r="AJ24" i="1"/>
  <c r="AI24" i="1"/>
  <c r="AH24" i="1"/>
  <c r="AG24" i="1"/>
  <c r="AG25" i="1" s="1"/>
  <c r="AG26" i="1" s="1"/>
  <c r="AF24" i="1"/>
  <c r="AE24" i="1"/>
  <c r="AD24" i="1"/>
  <c r="AC24" i="1"/>
  <c r="AC25" i="1" s="1"/>
  <c r="AC26" i="1" s="1"/>
  <c r="AB24" i="1"/>
  <c r="AA24" i="1"/>
  <c r="Z24" i="1"/>
  <c r="Y24" i="1"/>
  <c r="Y25" i="1" s="1"/>
  <c r="Y26" i="1" s="1"/>
  <c r="X24" i="1"/>
  <c r="AL23" i="1"/>
  <c r="AK23" i="1"/>
  <c r="AJ23" i="1"/>
  <c r="AI23" i="1"/>
  <c r="AH23" i="1"/>
  <c r="AG23" i="1"/>
  <c r="AF23" i="1"/>
  <c r="AE23" i="1"/>
  <c r="AD23" i="1"/>
  <c r="AC23" i="1"/>
  <c r="AB23" i="1"/>
  <c r="AA23" i="1"/>
  <c r="Z23" i="1"/>
  <c r="Y23" i="1"/>
  <c r="X23" i="1"/>
  <c r="AL22" i="1"/>
  <c r="AK22" i="1"/>
  <c r="AJ22" i="1"/>
  <c r="AI22" i="1"/>
  <c r="AH22" i="1"/>
  <c r="AG22" i="1"/>
  <c r="AF22" i="1"/>
  <c r="AE22" i="1"/>
  <c r="AD22" i="1"/>
  <c r="AC22" i="1"/>
  <c r="AB22" i="1"/>
  <c r="AA22" i="1"/>
  <c r="Z22" i="1"/>
  <c r="Y22" i="1"/>
  <c r="X22" i="1"/>
  <c r="X21" i="1"/>
  <c r="Y21" i="1" s="1"/>
  <c r="Z21" i="1" s="1"/>
  <c r="AA21" i="1" s="1"/>
  <c r="AB21" i="1" s="1"/>
  <c r="AC21" i="1" s="1"/>
  <c r="AD21" i="1" s="1"/>
  <c r="AE21" i="1" s="1"/>
  <c r="AF21" i="1" s="1"/>
  <c r="AG21" i="1" s="1"/>
  <c r="AH21" i="1" s="1"/>
  <c r="AI21" i="1" s="1"/>
  <c r="AJ21" i="1" s="1"/>
  <c r="AK21" i="1" s="1"/>
  <c r="AL21" i="1" s="1"/>
  <c r="AL20" i="1"/>
  <c r="AK20" i="1"/>
  <c r="AJ20" i="1"/>
  <c r="AI20" i="1"/>
  <c r="AH20" i="1"/>
  <c r="AG20" i="1"/>
  <c r="AF20" i="1"/>
  <c r="AE20" i="1"/>
  <c r="AD20" i="1"/>
  <c r="AC20" i="1"/>
  <c r="AB20" i="1"/>
  <c r="AA20" i="1"/>
  <c r="Z20" i="1"/>
  <c r="Y20" i="1"/>
  <c r="X20" i="1"/>
  <c r="AL19" i="1"/>
  <c r="AK19" i="1"/>
  <c r="AJ19" i="1"/>
  <c r="AI19" i="1"/>
  <c r="AH19" i="1"/>
  <c r="AG19" i="1"/>
  <c r="AF19" i="1"/>
  <c r="AE19" i="1"/>
  <c r="AD19" i="1"/>
  <c r="AC19" i="1"/>
  <c r="AB19" i="1"/>
  <c r="AA19" i="1"/>
  <c r="Z19" i="1"/>
  <c r="Y19" i="1"/>
  <c r="X19" i="1"/>
  <c r="Y13" i="1" l="1"/>
  <c r="Z12" i="1"/>
  <c r="Z13" i="1" l="1"/>
  <c r="AA12" i="1"/>
  <c r="AA13" i="1" l="1"/>
  <c r="AB12" i="1"/>
  <c r="AC12" i="1" l="1"/>
  <c r="AB13" i="1"/>
  <c r="AD12" i="1" l="1"/>
  <c r="AC13" i="1"/>
  <c r="AD13" i="1" l="1"/>
  <c r="AE12" i="1"/>
  <c r="AE13" i="1" l="1"/>
  <c r="AF12" i="1"/>
  <c r="AG12" i="1" l="1"/>
  <c r="AF13" i="1"/>
  <c r="AG13" i="1" l="1"/>
  <c r="AH12" i="1"/>
  <c r="AH13" i="1" l="1"/>
  <c r="AI12" i="1"/>
  <c r="AJ12" i="1" l="1"/>
  <c r="AI13" i="1"/>
  <c r="AK12" i="1" l="1"/>
  <c r="AJ13" i="1"/>
  <c r="AL12" i="1" l="1"/>
  <c r="AL13" i="1" s="1"/>
  <c r="AK13" i="1"/>
  <c r="K16" i="1" l="1"/>
  <c r="L16" i="1" s="1"/>
  <c r="O16" i="1"/>
  <c r="P16" i="1" s="1"/>
  <c r="S16" i="1"/>
  <c r="T16" i="1"/>
  <c r="Q16" i="1" l="1"/>
  <c r="M16" i="1"/>
  <c r="H68" i="1"/>
  <c r="I68" i="1" s="1"/>
  <c r="J68" i="1" s="1"/>
  <c r="K68" i="1" s="1"/>
  <c r="L68" i="1" s="1"/>
  <c r="M68" i="1" s="1"/>
  <c r="N68" i="1" s="1"/>
  <c r="O68" i="1" s="1"/>
  <c r="P68" i="1" s="1"/>
  <c r="Q68" i="1" s="1"/>
  <c r="R68" i="1" s="1"/>
  <c r="S68" i="1" s="1"/>
  <c r="T68" i="1" s="1"/>
  <c r="G68" i="1"/>
  <c r="E67" i="1"/>
  <c r="E66" i="1"/>
  <c r="E65" i="1" s="1"/>
  <c r="E64" i="1" s="1"/>
  <c r="E63" i="1" s="1"/>
  <c r="E62" i="1" s="1"/>
  <c r="E61" i="1" s="1"/>
  <c r="E60" i="1" s="1"/>
  <c r="E59" i="1" s="1"/>
  <c r="E58" i="1" s="1"/>
  <c r="E57" i="1" s="1"/>
  <c r="H55" i="1"/>
  <c r="I55" i="1" s="1"/>
  <c r="J55" i="1" s="1"/>
  <c r="K55" i="1" s="1"/>
  <c r="L55" i="1" s="1"/>
  <c r="M55" i="1" s="1"/>
  <c r="N55" i="1" s="1"/>
  <c r="O55" i="1" s="1"/>
  <c r="P55" i="1" s="1"/>
  <c r="Q55" i="1" s="1"/>
  <c r="R55" i="1" s="1"/>
  <c r="S55" i="1" s="1"/>
  <c r="T55" i="1" s="1"/>
  <c r="G55" i="1"/>
  <c r="T54" i="1"/>
  <c r="S54" i="1"/>
  <c r="R54" i="1"/>
  <c r="Q54" i="1"/>
  <c r="P54" i="1"/>
  <c r="O54" i="1"/>
  <c r="E54" i="1"/>
  <c r="T53" i="1"/>
  <c r="T66" i="1" s="1"/>
  <c r="S53" i="1"/>
  <c r="R53" i="1"/>
  <c r="Q53" i="1"/>
  <c r="P53" i="1"/>
  <c r="O53" i="1"/>
  <c r="N53" i="1"/>
  <c r="E53" i="1"/>
  <c r="E52" i="1" s="1"/>
  <c r="E51" i="1" s="1"/>
  <c r="E50" i="1" s="1"/>
  <c r="E49" i="1" s="1"/>
  <c r="E48" i="1" s="1"/>
  <c r="E47" i="1" s="1"/>
  <c r="E46" i="1" s="1"/>
  <c r="E45" i="1" s="1"/>
  <c r="E44" i="1" s="1"/>
  <c r="T52" i="1"/>
  <c r="T65" i="1" s="1"/>
  <c r="S52" i="1"/>
  <c r="R52" i="1"/>
  <c r="Q52" i="1"/>
  <c r="P52" i="1"/>
  <c r="O52" i="1"/>
  <c r="N52" i="1"/>
  <c r="M52" i="1"/>
  <c r="T51" i="1"/>
  <c r="T64" i="1" s="1"/>
  <c r="S51" i="1"/>
  <c r="R51" i="1"/>
  <c r="Q51" i="1"/>
  <c r="P51" i="1"/>
  <c r="O51" i="1"/>
  <c r="N51" i="1"/>
  <c r="M51" i="1"/>
  <c r="L51" i="1"/>
  <c r="T50" i="1"/>
  <c r="T63" i="1" s="1"/>
  <c r="S50" i="1"/>
  <c r="R50" i="1"/>
  <c r="Q50" i="1"/>
  <c r="P50" i="1"/>
  <c r="O50" i="1"/>
  <c r="N50" i="1"/>
  <c r="M50" i="1"/>
  <c r="L50" i="1"/>
  <c r="K50" i="1"/>
  <c r="T49" i="1"/>
  <c r="T62" i="1" s="1"/>
  <c r="S49" i="1"/>
  <c r="R49" i="1"/>
  <c r="Q49" i="1"/>
  <c r="P49" i="1"/>
  <c r="O49" i="1"/>
  <c r="N49" i="1"/>
  <c r="M49" i="1"/>
  <c r="L49" i="1"/>
  <c r="K49" i="1"/>
  <c r="J49" i="1"/>
  <c r="I49" i="1"/>
  <c r="H49" i="1"/>
  <c r="G49" i="1"/>
  <c r="F49" i="1"/>
  <c r="T48" i="1"/>
  <c r="T61" i="1" s="1"/>
  <c r="S48" i="1"/>
  <c r="R48" i="1"/>
  <c r="Q48" i="1"/>
  <c r="P48" i="1"/>
  <c r="O48" i="1"/>
  <c r="N48" i="1"/>
  <c r="M48" i="1"/>
  <c r="L48" i="1"/>
  <c r="K48" i="1"/>
  <c r="J48" i="1"/>
  <c r="I48" i="1"/>
  <c r="H48" i="1"/>
  <c r="G48" i="1"/>
  <c r="F48" i="1"/>
  <c r="F61" i="1" s="1"/>
  <c r="T47" i="1"/>
  <c r="T60" i="1" s="1"/>
  <c r="S47" i="1"/>
  <c r="R47" i="1"/>
  <c r="Q47" i="1"/>
  <c r="P47" i="1"/>
  <c r="O47" i="1"/>
  <c r="N47" i="1"/>
  <c r="M47" i="1"/>
  <c r="L47" i="1"/>
  <c r="K47" i="1"/>
  <c r="J47" i="1"/>
  <c r="I47" i="1"/>
  <c r="H47" i="1"/>
  <c r="G47" i="1"/>
  <c r="F47" i="1"/>
  <c r="F60" i="1" s="1"/>
  <c r="T46" i="1"/>
  <c r="T59" i="1" s="1"/>
  <c r="S46" i="1"/>
  <c r="R46" i="1"/>
  <c r="Q46" i="1"/>
  <c r="P46" i="1"/>
  <c r="O46" i="1"/>
  <c r="N46" i="1"/>
  <c r="M46" i="1"/>
  <c r="L46" i="1"/>
  <c r="K46" i="1"/>
  <c r="J46" i="1"/>
  <c r="I46" i="1"/>
  <c r="H46" i="1"/>
  <c r="G46" i="1"/>
  <c r="F46" i="1"/>
  <c r="F59" i="1" s="1"/>
  <c r="T45" i="1"/>
  <c r="T58" i="1" s="1"/>
  <c r="S45" i="1"/>
  <c r="R45" i="1"/>
  <c r="Q45" i="1"/>
  <c r="P45" i="1"/>
  <c r="O45" i="1"/>
  <c r="N45" i="1"/>
  <c r="M45" i="1"/>
  <c r="L45" i="1"/>
  <c r="K45" i="1"/>
  <c r="J45" i="1"/>
  <c r="I45" i="1"/>
  <c r="H45" i="1"/>
  <c r="G45" i="1"/>
  <c r="F45" i="1"/>
  <c r="F58" i="1" s="1"/>
  <c r="T44" i="1"/>
  <c r="S44" i="1"/>
  <c r="R44" i="1"/>
  <c r="Q44" i="1"/>
  <c r="P44" i="1"/>
  <c r="O44" i="1"/>
  <c r="N44" i="1"/>
  <c r="M44" i="1"/>
  <c r="L44" i="1"/>
  <c r="K44" i="1"/>
  <c r="J44" i="1"/>
  <c r="I44" i="1"/>
  <c r="H44" i="1"/>
  <c r="G44" i="1"/>
  <c r="F44" i="1"/>
  <c r="H42" i="1"/>
  <c r="I42" i="1" s="1"/>
  <c r="J42" i="1" s="1"/>
  <c r="K42" i="1" s="1"/>
  <c r="L42" i="1" s="1"/>
  <c r="M42" i="1" s="1"/>
  <c r="N42" i="1" s="1"/>
  <c r="O42" i="1" s="1"/>
  <c r="P42" i="1" s="1"/>
  <c r="Q42" i="1" s="1"/>
  <c r="R42" i="1" s="1"/>
  <c r="S42" i="1" s="1"/>
  <c r="T42" i="1" s="1"/>
  <c r="G42" i="1"/>
  <c r="T41" i="1"/>
  <c r="E41" i="1"/>
  <c r="T40" i="1"/>
  <c r="E40" i="1"/>
  <c r="E39" i="1" s="1"/>
  <c r="E38" i="1" s="1"/>
  <c r="E37" i="1" s="1"/>
  <c r="E36" i="1" s="1"/>
  <c r="E35" i="1" s="1"/>
  <c r="E34" i="1" s="1"/>
  <c r="E33" i="1" s="1"/>
  <c r="E32" i="1" s="1"/>
  <c r="E31" i="1" s="1"/>
  <c r="T39" i="1"/>
  <c r="T38" i="1"/>
  <c r="T37" i="1"/>
  <c r="T36" i="1"/>
  <c r="F36" i="1"/>
  <c r="T35" i="1"/>
  <c r="F35" i="1"/>
  <c r="T34" i="1"/>
  <c r="F34" i="1"/>
  <c r="T33" i="1"/>
  <c r="F33" i="1"/>
  <c r="T32" i="1"/>
  <c r="F32" i="1"/>
  <c r="T31" i="1"/>
  <c r="F31" i="1"/>
  <c r="G29" i="1"/>
  <c r="H29" i="1" s="1"/>
  <c r="I29" i="1" s="1"/>
  <c r="J29" i="1" s="1"/>
  <c r="K29" i="1" s="1"/>
  <c r="L29" i="1" s="1"/>
  <c r="M29" i="1" s="1"/>
  <c r="N29" i="1" s="1"/>
  <c r="O29" i="1" s="1"/>
  <c r="P29" i="1" s="1"/>
  <c r="Q29" i="1" s="1"/>
  <c r="R29" i="1" s="1"/>
  <c r="S29" i="1" s="1"/>
  <c r="T29" i="1" s="1"/>
  <c r="E28" i="1"/>
  <c r="E27" i="1"/>
  <c r="E26" i="1" s="1"/>
  <c r="E25" i="1" s="1"/>
  <c r="E24" i="1" s="1"/>
  <c r="E23" i="1" s="1"/>
  <c r="E22" i="1" s="1"/>
  <c r="E21" i="1" s="1"/>
  <c r="E20" i="1" s="1"/>
  <c r="E19" i="1" s="1"/>
  <c r="E18" i="1" s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T5" i="1"/>
  <c r="G6" i="1"/>
  <c r="G31" i="1" s="1"/>
  <c r="H6" i="1"/>
  <c r="I6" i="1"/>
  <c r="I31" i="1" s="1"/>
  <c r="J6" i="1"/>
  <c r="J31" i="1" s="1"/>
  <c r="K6" i="1"/>
  <c r="K31" i="1" s="1"/>
  <c r="L6" i="1"/>
  <c r="M6" i="1"/>
  <c r="M31" i="1" s="1"/>
  <c r="N6" i="1"/>
  <c r="N31" i="1" s="1"/>
  <c r="O6" i="1"/>
  <c r="O31" i="1" s="1"/>
  <c r="P6" i="1"/>
  <c r="Q6" i="1"/>
  <c r="Q31" i="1" s="1"/>
  <c r="R6" i="1"/>
  <c r="R31" i="1" s="1"/>
  <c r="S6" i="1"/>
  <c r="S31" i="1" s="1"/>
  <c r="G7" i="1"/>
  <c r="G32" i="1" s="1"/>
  <c r="H7" i="1"/>
  <c r="I7" i="1"/>
  <c r="J7" i="1"/>
  <c r="J32" i="1" s="1"/>
  <c r="K7" i="1"/>
  <c r="K32" i="1" s="1"/>
  <c r="L7" i="1"/>
  <c r="M7" i="1"/>
  <c r="N7" i="1"/>
  <c r="N32" i="1" s="1"/>
  <c r="O7" i="1"/>
  <c r="O32" i="1" s="1"/>
  <c r="P7" i="1"/>
  <c r="P32" i="1" s="1"/>
  <c r="Q7" i="1"/>
  <c r="Q32" i="1" s="1"/>
  <c r="R7" i="1"/>
  <c r="R32" i="1" s="1"/>
  <c r="S7" i="1"/>
  <c r="S32" i="1" s="1"/>
  <c r="G8" i="1"/>
  <c r="G35" i="1" s="1"/>
  <c r="H8" i="1"/>
  <c r="H35" i="1" s="1"/>
  <c r="I8" i="1"/>
  <c r="I35" i="1" s="1"/>
  <c r="J8" i="1"/>
  <c r="J35" i="1" s="1"/>
  <c r="K8" i="1"/>
  <c r="L8" i="1"/>
  <c r="M8" i="1"/>
  <c r="N8" i="1"/>
  <c r="O8" i="1"/>
  <c r="P8" i="1"/>
  <c r="Q8" i="1"/>
  <c r="R8" i="1"/>
  <c r="S8" i="1"/>
  <c r="G9" i="1"/>
  <c r="G36" i="1" s="1"/>
  <c r="H9" i="1"/>
  <c r="H36" i="1" s="1"/>
  <c r="I9" i="1"/>
  <c r="I36" i="1" s="1"/>
  <c r="J9" i="1"/>
  <c r="J36" i="1" s="1"/>
  <c r="K9" i="1"/>
  <c r="K36" i="1" s="1"/>
  <c r="L9" i="1"/>
  <c r="M9" i="1"/>
  <c r="N9" i="1"/>
  <c r="O9" i="1"/>
  <c r="P9" i="1"/>
  <c r="Q9" i="1"/>
  <c r="R9" i="1"/>
  <c r="S9" i="1"/>
  <c r="F10" i="1"/>
  <c r="F9" i="1" s="1"/>
  <c r="F8" i="1" s="1"/>
  <c r="F7" i="1" s="1"/>
  <c r="F6" i="1" s="1"/>
  <c r="G10" i="1"/>
  <c r="H10" i="1"/>
  <c r="I10" i="1"/>
  <c r="J10" i="1"/>
  <c r="K10" i="1"/>
  <c r="K37" i="1" s="1"/>
  <c r="L10" i="1"/>
  <c r="L37" i="1" s="1"/>
  <c r="M10" i="1"/>
  <c r="N10" i="1"/>
  <c r="O10" i="1"/>
  <c r="P10" i="1"/>
  <c r="Q10" i="1"/>
  <c r="R10" i="1"/>
  <c r="S10" i="1"/>
  <c r="L11" i="1"/>
  <c r="L38" i="1" s="1"/>
  <c r="M11" i="1"/>
  <c r="M38" i="1" s="1"/>
  <c r="M64" i="1" s="1"/>
  <c r="N11" i="1"/>
  <c r="O11" i="1"/>
  <c r="P11" i="1"/>
  <c r="Q11" i="1"/>
  <c r="R11" i="1"/>
  <c r="S11" i="1"/>
  <c r="M12" i="1"/>
  <c r="M39" i="1" s="1"/>
  <c r="N12" i="1"/>
  <c r="N39" i="1" s="1"/>
  <c r="O12" i="1"/>
  <c r="P12" i="1"/>
  <c r="Q12" i="1"/>
  <c r="R12" i="1"/>
  <c r="S12" i="1"/>
  <c r="N13" i="1"/>
  <c r="N40" i="1" s="1"/>
  <c r="O13" i="1"/>
  <c r="O40" i="1" s="1"/>
  <c r="P13" i="1"/>
  <c r="P40" i="1" s="1"/>
  <c r="Q13" i="1"/>
  <c r="R13" i="1"/>
  <c r="R40" i="1" s="1"/>
  <c r="S13" i="1"/>
  <c r="S40" i="1" s="1"/>
  <c r="E14" i="1"/>
  <c r="E13" i="1" s="1"/>
  <c r="E12" i="1" s="1"/>
  <c r="E11" i="1" s="1"/>
  <c r="E10" i="1" s="1"/>
  <c r="E9" i="1" s="1"/>
  <c r="E8" i="1" s="1"/>
  <c r="E7" i="1" s="1"/>
  <c r="E6" i="1" s="1"/>
  <c r="E5" i="1" s="1"/>
  <c r="B6" i="1" s="1"/>
  <c r="T14" i="1" s="1"/>
  <c r="T13" i="1" s="1"/>
  <c r="T12" i="1" s="1"/>
  <c r="T11" i="1" s="1"/>
  <c r="T10" i="1" s="1"/>
  <c r="T9" i="1" s="1"/>
  <c r="T8" i="1" s="1"/>
  <c r="T7" i="1" s="1"/>
  <c r="T6" i="1" s="1"/>
  <c r="O14" i="1"/>
  <c r="O41" i="1" s="1"/>
  <c r="P14" i="1"/>
  <c r="P41" i="1" s="1"/>
  <c r="Q14" i="1"/>
  <c r="Q41" i="1" s="1"/>
  <c r="R14" i="1"/>
  <c r="R41" i="1" s="1"/>
  <c r="S14" i="1"/>
  <c r="S41" i="1" s="1"/>
  <c r="E15" i="1"/>
  <c r="G16" i="1"/>
  <c r="H16" i="1"/>
  <c r="I16" i="1" s="1"/>
  <c r="B15" i="1"/>
  <c r="B14" i="1"/>
  <c r="B13" i="1"/>
  <c r="B12" i="1"/>
  <c r="B5" i="1"/>
  <c r="B4" i="1"/>
  <c r="B2" i="1"/>
  <c r="J61" i="1" l="1"/>
  <c r="S58" i="1"/>
  <c r="O58" i="1"/>
  <c r="K58" i="1"/>
  <c r="G58" i="1"/>
  <c r="Q58" i="1"/>
  <c r="O38" i="1"/>
  <c r="O64" i="1" s="1"/>
  <c r="Q36" i="1"/>
  <c r="Q62" i="1" s="1"/>
  <c r="M36" i="1"/>
  <c r="M62" i="1" s="1"/>
  <c r="Q38" i="1"/>
  <c r="Q64" i="1" s="1"/>
  <c r="R37" i="1"/>
  <c r="R63" i="1" s="1"/>
  <c r="N37" i="1"/>
  <c r="N63" i="1" s="1"/>
  <c r="L36" i="1"/>
  <c r="L62" i="1" s="1"/>
  <c r="Q35" i="1"/>
  <c r="Q61" i="1" s="1"/>
  <c r="M35" i="1"/>
  <c r="M61" i="1" s="1"/>
  <c r="N38" i="1"/>
  <c r="N64" i="1" s="1"/>
  <c r="J58" i="1"/>
  <c r="G61" i="1"/>
  <c r="P58" i="1"/>
  <c r="Q39" i="1"/>
  <c r="Q65" i="1" s="1"/>
  <c r="P38" i="1"/>
  <c r="P64" i="1" s="1"/>
  <c r="L34" i="1"/>
  <c r="L60" i="1" s="1"/>
  <c r="R66" i="1"/>
  <c r="S37" i="1"/>
  <c r="S63" i="1" s="1"/>
  <c r="R35" i="1"/>
  <c r="R61" i="1" s="1"/>
  <c r="N35" i="1"/>
  <c r="N61" i="1" s="1"/>
  <c r="P33" i="1"/>
  <c r="P59" i="1" s="1"/>
  <c r="L33" i="1"/>
  <c r="L59" i="1" s="1"/>
  <c r="H33" i="1"/>
  <c r="H59" i="1" s="1"/>
  <c r="R39" i="1"/>
  <c r="R65" i="1" s="1"/>
  <c r="N65" i="1"/>
  <c r="H61" i="1"/>
  <c r="N66" i="1"/>
  <c r="I62" i="1"/>
  <c r="O37" i="1"/>
  <c r="O63" i="1" s="1"/>
  <c r="I61" i="1"/>
  <c r="N58" i="1"/>
  <c r="H31" i="1"/>
  <c r="K34" i="1"/>
  <c r="K60" i="1" s="1"/>
  <c r="S36" i="1"/>
  <c r="S62" i="1" s="1"/>
  <c r="O36" i="1"/>
  <c r="O62" i="1" s="1"/>
  <c r="Q34" i="1"/>
  <c r="Q60" i="1" s="1"/>
  <c r="M34" i="1"/>
  <c r="M60" i="1" s="1"/>
  <c r="I34" i="1"/>
  <c r="I60" i="1" s="1"/>
  <c r="P31" i="1"/>
  <c r="L32" i="1"/>
  <c r="L58" i="1" s="1"/>
  <c r="P39" i="1"/>
  <c r="P65" i="1" s="1"/>
  <c r="L31" i="1"/>
  <c r="N33" i="1"/>
  <c r="N59" i="1" s="1"/>
  <c r="G34" i="1"/>
  <c r="G60" i="1" s="1"/>
  <c r="S39" i="1"/>
  <c r="S65" i="1" s="1"/>
  <c r="R38" i="1"/>
  <c r="R64" i="1" s="1"/>
  <c r="R58" i="1"/>
  <c r="R33" i="1"/>
  <c r="R59" i="1" s="1"/>
  <c r="O39" i="1"/>
  <c r="O65" i="1" s="1"/>
  <c r="S66" i="1"/>
  <c r="O66" i="1"/>
  <c r="P37" i="1"/>
  <c r="P63" i="1" s="1"/>
  <c r="L63" i="1"/>
  <c r="R36" i="1"/>
  <c r="R62" i="1" s="1"/>
  <c r="N36" i="1"/>
  <c r="N62" i="1" s="1"/>
  <c r="S35" i="1"/>
  <c r="S61" i="1" s="1"/>
  <c r="O35" i="1"/>
  <c r="O61" i="1" s="1"/>
  <c r="K33" i="1"/>
  <c r="K59" i="1" s="1"/>
  <c r="I33" i="1"/>
  <c r="I59" i="1" s="1"/>
  <c r="M32" i="1"/>
  <c r="M58" i="1" s="1"/>
  <c r="M33" i="1"/>
  <c r="M59" i="1" s="1"/>
  <c r="S34" i="1"/>
  <c r="S60" i="1" s="1"/>
  <c r="K35" i="1"/>
  <c r="K61" i="1" s="1"/>
  <c r="Q40" i="1"/>
  <c r="Q66" i="1" s="1"/>
  <c r="T57" i="1"/>
  <c r="R67" i="1"/>
  <c r="H62" i="1"/>
  <c r="Q67" i="1"/>
  <c r="L64" i="1"/>
  <c r="J62" i="1"/>
  <c r="H34" i="1"/>
  <c r="H60" i="1" s="1"/>
  <c r="H32" i="1"/>
  <c r="H58" i="1" s="1"/>
  <c r="Q57" i="1"/>
  <c r="M57" i="1"/>
  <c r="P34" i="1"/>
  <c r="P60" i="1" s="1"/>
  <c r="L35" i="1"/>
  <c r="L61" i="1" s="1"/>
  <c r="S38" i="1"/>
  <c r="S64" i="1" s="1"/>
  <c r="O67" i="1"/>
  <c r="I57" i="1"/>
  <c r="G33" i="1"/>
  <c r="G59" i="1" s="1"/>
  <c r="Q33" i="1"/>
  <c r="Q59" i="1" s="1"/>
  <c r="R34" i="1"/>
  <c r="R60" i="1" s="1"/>
  <c r="P35" i="1"/>
  <c r="P61" i="1" s="1"/>
  <c r="K57" i="1"/>
  <c r="P36" i="1"/>
  <c r="P62" i="1" s="1"/>
  <c r="J34" i="1"/>
  <c r="J60" i="1" s="1"/>
  <c r="S57" i="1"/>
  <c r="O33" i="1"/>
  <c r="O59" i="1" s="1"/>
  <c r="G57" i="1"/>
  <c r="S67" i="1"/>
  <c r="F57" i="1"/>
  <c r="O57" i="1"/>
  <c r="M65" i="1"/>
  <c r="S33" i="1"/>
  <c r="S59" i="1" s="1"/>
  <c r="N34" i="1"/>
  <c r="N60" i="1" s="1"/>
  <c r="P67" i="1"/>
  <c r="P66" i="1"/>
  <c r="Q37" i="1"/>
  <c r="Q63" i="1" s="1"/>
  <c r="M37" i="1"/>
  <c r="M63" i="1" s="1"/>
  <c r="K62" i="1"/>
  <c r="G62" i="1"/>
  <c r="R57" i="1"/>
  <c r="N57" i="1"/>
  <c r="J57" i="1"/>
  <c r="I32" i="1"/>
  <c r="I58" i="1" s="1"/>
  <c r="J33" i="1"/>
  <c r="J59" i="1" s="1"/>
  <c r="O34" i="1"/>
  <c r="O60" i="1" s="1"/>
  <c r="F62" i="1"/>
  <c r="T67" i="1"/>
  <c r="K63" i="1"/>
  <c r="P57" i="1" l="1"/>
  <c r="H57" i="1"/>
  <c r="L57" i="1"/>
</calcChain>
</file>

<file path=xl/sharedStrings.xml><?xml version="1.0" encoding="utf-8"?>
<sst xmlns="http://schemas.openxmlformats.org/spreadsheetml/2006/main" count="32" uniqueCount="20">
  <si>
    <t>dx=dy</t>
  </si>
  <si>
    <t>V_in</t>
  </si>
  <si>
    <t>p_in</t>
  </si>
  <si>
    <t>V_out</t>
  </si>
  <si>
    <t>n_iter</t>
  </si>
  <si>
    <t>N_L</t>
  </si>
  <si>
    <t>N_H</t>
  </si>
  <si>
    <t>start_row</t>
  </si>
  <si>
    <t>start_columr</t>
  </si>
  <si>
    <t>psi</t>
  </si>
  <si>
    <t>Нижняя стенка</t>
  </si>
  <si>
    <t>x</t>
  </si>
  <si>
    <t>y</t>
  </si>
  <si>
    <t>U</t>
  </si>
  <si>
    <t>V</t>
  </si>
  <si>
    <t>vel</t>
  </si>
  <si>
    <t xml:space="preserve">p </t>
  </si>
  <si>
    <t>Cp</t>
  </si>
  <si>
    <t>Верхняя стенка</t>
  </si>
  <si>
    <t>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</si>
</sst>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1" xfId="0" applyBorder="1"/>
    <xf numFmtId="0" fontId="0" fillId="2" borderId="0" xfId="0" applyFill="1"/>
    <xf numFmtId="0" fontId="0" fillId="3" borderId="0" xfId="0" applyFill="1"/>
    <xf numFmtId="0" fontId="0" fillId="4" borderId="1" xfId="0" applyFill="1" applyBorder="1"/>
    <xf numFmtId="0" fontId="1" fillId="0" borderId="1" xfId="0" applyFont="1" applyBorder="1"/>
    <xf numFmtId="0" fontId="1" fillId="7" borderId="0" xfId="0" applyFont="1" applyFill="1"/>
    <xf numFmtId="0" fontId="0" fillId="7" borderId="0" xfId="0" applyFill="1"/>
    <xf numFmtId="2" fontId="0" fillId="0" borderId="1" xfId="0" applyNumberFormat="1" applyBorder="1"/>
    <xf numFmtId="2" fontId="0" fillId="2" borderId="0" xfId="0" applyNumberFormat="1" applyFill="1"/>
    <xf numFmtId="2" fontId="0" fillId="4" borderId="1" xfId="0" applyNumberFormat="1" applyFill="1" applyBorder="1"/>
    <xf numFmtId="2" fontId="0" fillId="5" borderId="1" xfId="0" applyNumberFormat="1" applyFill="1" applyBorder="1"/>
    <xf numFmtId="2" fontId="0" fillId="0" borderId="0" xfId="0" applyNumberFormat="1"/>
    <xf numFmtId="2" fontId="0" fillId="6" borderId="1" xfId="0" applyNumberFormat="1" applyFill="1" applyBorder="1"/>
    <xf numFmtId="2" fontId="0" fillId="0" borderId="2" xfId="0" applyNumberFormat="1" applyBorder="1"/>
    <xf numFmtId="2" fontId="0" fillId="6" borderId="2" xfId="0" applyNumberFormat="1" applyFill="1" applyBorder="1"/>
    <xf numFmtId="0" fontId="0" fillId="0" borderId="1" xfId="0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FFCCFF"/>
      <color rgb="FFFF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en-US"/>
              <a:t>Cp</a:t>
            </a:r>
            <a:endParaRPr lang="ru-RU"/>
          </a:p>
        </c:rich>
      </c:tx>
      <c:layout>
        <c:manualLayout>
          <c:xMode val="edge"/>
          <c:yMode val="edge"/>
          <c:x val="2.1009921363330079E-2"/>
          <c:y val="1.585682807502602E-2"/>
        </c:manualLayout>
      </c:layout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Нижняя стенка</c:v>
          </c:tx>
          <c:marker>
            <c:spPr>
              <a:solidFill>
                <a:schemeClr val="tx1"/>
              </a:solidFill>
            </c:spPr>
          </c:marker>
          <c:xVal>
            <c:numRef>
              <c:f>Лист1!$X$7:$AL$7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1</c:v>
                </c:pt>
                <c:pt idx="5">
                  <c:v>1.2</c:v>
                </c:pt>
                <c:pt idx="6">
                  <c:v>1.4</c:v>
                </c:pt>
                <c:pt idx="7">
                  <c:v>1.5999999999999999</c:v>
                </c:pt>
                <c:pt idx="8">
                  <c:v>2</c:v>
                </c:pt>
                <c:pt idx="9">
                  <c:v>2.2000000000000002</c:v>
                </c:pt>
                <c:pt idx="10">
                  <c:v>2.4000000000000004</c:v>
                </c:pt>
                <c:pt idx="11">
                  <c:v>2.6000000000000005</c:v>
                </c:pt>
                <c:pt idx="12">
                  <c:v>3</c:v>
                </c:pt>
                <c:pt idx="13">
                  <c:v>3.2</c:v>
                </c:pt>
                <c:pt idx="14">
                  <c:v>3.4000000000000004</c:v>
                </c:pt>
              </c:numCache>
            </c:numRef>
          </c:xVal>
          <c:yVal>
            <c:numRef>
              <c:f>Лист1!$X$13:$AL$13</c:f>
              <c:numCache>
                <c:formatCode>0.00</c:formatCode>
                <c:ptCount val="15"/>
                <c:pt idx="0">
                  <c:v>0</c:v>
                </c:pt>
                <c:pt idx="1">
                  <c:v>-3.5737088362511715E-2</c:v>
                </c:pt>
                <c:pt idx="2">
                  <c:v>-9.103395513782743E-2</c:v>
                </c:pt>
                <c:pt idx="3">
                  <c:v>-0.20357095134590053</c:v>
                </c:pt>
                <c:pt idx="4">
                  <c:v>-0.92373143259203061</c:v>
                </c:pt>
                <c:pt idx="5">
                  <c:v>0.30864054344332542</c:v>
                </c:pt>
                <c:pt idx="6">
                  <c:v>0.58970050927455309</c:v>
                </c:pt>
                <c:pt idx="7">
                  <c:v>0.74184411465015732</c:v>
                </c:pt>
                <c:pt idx="8">
                  <c:v>0.85363224091590384</c:v>
                </c:pt>
                <c:pt idx="9">
                  <c:v>0.95233496326050959</c:v>
                </c:pt>
                <c:pt idx="10">
                  <c:v>0.89241443206032267</c:v>
                </c:pt>
                <c:pt idx="11">
                  <c:v>0.84549089981883296</c:v>
                </c:pt>
                <c:pt idx="12">
                  <c:v>0.80891509127744943</c:v>
                </c:pt>
                <c:pt idx="13">
                  <c:v>0.77836959758045854</c:v>
                </c:pt>
                <c:pt idx="14">
                  <c:v>0.75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DEF4-4238-A7DE-C9EA497FD21D}"/>
            </c:ext>
          </c:extLst>
        </c:ser>
        <c:ser>
          <c:idx val="1"/>
          <c:order val="1"/>
          <c:tx>
            <c:v>Верхняя стенка</c:v>
          </c:tx>
          <c:marker>
            <c:spPr>
              <a:solidFill>
                <a:srgbClr val="0070C0"/>
              </a:solidFill>
            </c:spPr>
          </c:marker>
          <c:xVal>
            <c:numRef>
              <c:f>Лист1!$X$20:$AL$20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1</c:v>
                </c:pt>
                <c:pt idx="5">
                  <c:v>1.2</c:v>
                </c:pt>
                <c:pt idx="6">
                  <c:v>1.4</c:v>
                </c:pt>
                <c:pt idx="7">
                  <c:v>1.5999999999999999</c:v>
                </c:pt>
                <c:pt idx="8">
                  <c:v>2</c:v>
                </c:pt>
                <c:pt idx="9">
                  <c:v>2.2000000000000002</c:v>
                </c:pt>
                <c:pt idx="10">
                  <c:v>2.4000000000000004</c:v>
                </c:pt>
                <c:pt idx="11">
                  <c:v>2.6000000000000005</c:v>
                </c:pt>
                <c:pt idx="12">
                  <c:v>3</c:v>
                </c:pt>
                <c:pt idx="13">
                  <c:v>3.2</c:v>
                </c:pt>
                <c:pt idx="14">
                  <c:v>3.4000000000000004</c:v>
                </c:pt>
              </c:numCache>
            </c:numRef>
          </c:xVal>
          <c:yVal>
            <c:numRef>
              <c:f>Лист1!$X$26:$AL$26</c:f>
              <c:numCache>
                <c:formatCode>0.00</c:formatCode>
                <c:ptCount val="15"/>
                <c:pt idx="0">
                  <c:v>0</c:v>
                </c:pt>
                <c:pt idx="1">
                  <c:v>2.8143798764795065E-2</c:v>
                </c:pt>
                <c:pt idx="2">
                  <c:v>6.3816200783476232E-2</c:v>
                </c:pt>
                <c:pt idx="3">
                  <c:v>0.11458771844714648</c:v>
                </c:pt>
                <c:pt idx="4">
                  <c:v>0.18568977058166639</c:v>
                </c:pt>
                <c:pt idx="5">
                  <c:v>0.27485152250505052</c:v>
                </c:pt>
                <c:pt idx="6">
                  <c:v>0.3682061283598887</c:v>
                </c:pt>
                <c:pt idx="7">
                  <c:v>0.45398921744170367</c:v>
                </c:pt>
                <c:pt idx="8">
                  <c:v>0.5267868516943417</c:v>
                </c:pt>
                <c:pt idx="9">
                  <c:v>0.58591190910083246</c:v>
                </c:pt>
                <c:pt idx="10">
                  <c:v>0.63302386097289853</c:v>
                </c:pt>
                <c:pt idx="11">
                  <c:v>0.67058630912244555</c:v>
                </c:pt>
                <c:pt idx="12">
                  <c:v>0.70112120069883532</c:v>
                </c:pt>
                <c:pt idx="13">
                  <c:v>0.72692520528624305</c:v>
                </c:pt>
                <c:pt idx="14">
                  <c:v>0.75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DEF4-4238-A7DE-C9EA497FD2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254400"/>
        <c:axId val="199256704"/>
      </c:scatterChart>
      <c:valAx>
        <c:axId val="199254400"/>
        <c:scaling>
          <c:orientation val="minMax"/>
        </c:scaling>
        <c:delete val="0"/>
        <c:axPos val="b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ru-RU"/>
                  <a:t>х,</a:t>
                </a:r>
                <a:r>
                  <a:rPr lang="en-US"/>
                  <a:t>[</a:t>
                </a:r>
                <a:r>
                  <a:rPr lang="ru-RU"/>
                  <a:t>м</a:t>
                </a:r>
                <a:r>
                  <a:rPr lang="en-US"/>
                  <a:t>]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76331352727683877"/>
              <c:y val="0.36190525657596401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ru-RU"/>
          </a:p>
        </c:txPr>
        <c:crossAx val="199256704"/>
        <c:crosses val="autoZero"/>
        <c:crossBetween val="midCat"/>
      </c:valAx>
      <c:valAx>
        <c:axId val="199256704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ru-RU"/>
          </a:p>
        </c:txPr>
        <c:crossAx val="1992544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1869656522374679"/>
          <c:y val="0.1365759839224249"/>
          <c:w val="0.16721272779167279"/>
          <c:h val="0.11469505946185671"/>
        </c:manualLayout>
      </c:layout>
      <c:overlay val="0"/>
      <c:txPr>
        <a:bodyPr rot="0" vert="horz"/>
        <a:lstStyle/>
        <a:p>
          <a:pPr>
            <a:defRPr/>
          </a:pPr>
          <a:endParaRPr lang="ru-RU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20409</xdr:colOff>
      <xdr:row>27</xdr:row>
      <xdr:rowOff>2720</xdr:rowOff>
    </xdr:from>
    <xdr:to>
      <xdr:col>29</xdr:col>
      <xdr:colOff>849085</xdr:colOff>
      <xdr:row>48</xdr:row>
      <xdr:rowOff>6804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2:AL69"/>
  <sheetViews>
    <sheetView tabSelected="1" topLeftCell="S22" zoomScaleNormal="100" workbookViewId="0">
      <selection activeCell="AF36" sqref="AF36"/>
    </sheetView>
  </sheetViews>
  <sheetFormatPr defaultRowHeight="15" x14ac:dyDescent="0.25"/>
  <cols>
    <col min="5" max="5" width="10.140625" bestFit="1" customWidth="1"/>
    <col min="6" max="20" width="11.140625" bestFit="1" customWidth="1"/>
    <col min="24" max="38" width="14.42578125" bestFit="1" customWidth="1"/>
  </cols>
  <sheetData>
    <row r="2" spans="1:38" x14ac:dyDescent="0.25">
      <c r="A2" s="1" t="s">
        <v>0</v>
      </c>
      <c r="B2" s="1">
        <f>0.2</f>
        <v>0.2</v>
      </c>
    </row>
    <row r="4" spans="1:38" x14ac:dyDescent="0.25">
      <c r="A4" s="1" t="s">
        <v>1</v>
      </c>
      <c r="B4" s="1">
        <f>10</f>
        <v>10</v>
      </c>
      <c r="F4" s="2">
        <v>1</v>
      </c>
      <c r="G4" s="2">
        <v>2</v>
      </c>
      <c r="H4" s="2">
        <v>3</v>
      </c>
      <c r="I4" s="2">
        <v>4</v>
      </c>
      <c r="J4" s="2">
        <v>5</v>
      </c>
      <c r="K4" s="2">
        <v>6</v>
      </c>
      <c r="L4" s="2">
        <v>7</v>
      </c>
      <c r="M4" s="2">
        <v>8</v>
      </c>
      <c r="N4" s="2">
        <v>9</v>
      </c>
      <c r="O4" s="2">
        <v>10</v>
      </c>
      <c r="P4" s="2">
        <v>11</v>
      </c>
      <c r="Q4" s="2">
        <v>12</v>
      </c>
      <c r="R4" s="2">
        <v>13</v>
      </c>
      <c r="S4" s="2">
        <v>14</v>
      </c>
      <c r="T4" s="2">
        <v>15</v>
      </c>
      <c r="W4" s="16" t="s">
        <v>10</v>
      </c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</row>
    <row r="5" spans="1:38" x14ac:dyDescent="0.25">
      <c r="A5" s="1" t="s">
        <v>2</v>
      </c>
      <c r="B5" s="1">
        <f>101325</f>
        <v>101325</v>
      </c>
      <c r="D5" s="6" t="s">
        <v>19</v>
      </c>
      <c r="E5" s="9">
        <f t="shared" ref="E5:E13" si="0">E6+$B$2</f>
        <v>1.9999999999999998</v>
      </c>
      <c r="F5" s="10">
        <f>10</f>
        <v>10</v>
      </c>
      <c r="G5" s="10">
        <f>10</f>
        <v>10</v>
      </c>
      <c r="H5" s="10">
        <f>10</f>
        <v>10</v>
      </c>
      <c r="I5" s="10">
        <f>10</f>
        <v>10</v>
      </c>
      <c r="J5" s="10">
        <f>10</f>
        <v>10</v>
      </c>
      <c r="K5" s="10">
        <f>10</f>
        <v>10</v>
      </c>
      <c r="L5" s="10">
        <f>10</f>
        <v>10</v>
      </c>
      <c r="M5" s="10">
        <f>10</f>
        <v>10</v>
      </c>
      <c r="N5" s="10">
        <f>10</f>
        <v>10</v>
      </c>
      <c r="O5" s="10">
        <f>10</f>
        <v>10</v>
      </c>
      <c r="P5" s="10">
        <f>10</f>
        <v>10</v>
      </c>
      <c r="Q5" s="10">
        <f>10</f>
        <v>10</v>
      </c>
      <c r="R5" s="10">
        <f>10</f>
        <v>10</v>
      </c>
      <c r="S5" s="10">
        <f>10</f>
        <v>10</v>
      </c>
      <c r="T5" s="4">
        <f>10</f>
        <v>10</v>
      </c>
      <c r="U5" s="2">
        <v>11</v>
      </c>
      <c r="W5" s="1">
        <v>0</v>
      </c>
      <c r="X5" s="1">
        <v>1</v>
      </c>
      <c r="Y5" s="1">
        <v>2</v>
      </c>
      <c r="Z5" s="1">
        <v>3</v>
      </c>
      <c r="AA5" s="1">
        <v>4</v>
      </c>
      <c r="AB5" s="1">
        <v>5</v>
      </c>
      <c r="AC5" s="1">
        <v>6</v>
      </c>
      <c r="AD5" s="1">
        <v>7</v>
      </c>
      <c r="AE5" s="1">
        <v>8</v>
      </c>
      <c r="AF5" s="1">
        <v>9</v>
      </c>
      <c r="AG5" s="1">
        <v>10</v>
      </c>
      <c r="AH5" s="1">
        <v>11</v>
      </c>
      <c r="AI5" s="1">
        <v>12</v>
      </c>
      <c r="AJ5" s="1">
        <v>13</v>
      </c>
      <c r="AK5" s="1">
        <v>14</v>
      </c>
      <c r="AL5" s="1">
        <v>15</v>
      </c>
    </row>
    <row r="6" spans="1:38" x14ac:dyDescent="0.25">
      <c r="A6" s="1" t="s">
        <v>3</v>
      </c>
      <c r="B6" s="1">
        <f>((E5-E10)*B4)/(E5-E15)</f>
        <v>5</v>
      </c>
      <c r="E6" s="9">
        <f t="shared" si="0"/>
        <v>1.7999999999999998</v>
      </c>
      <c r="F6" s="10">
        <f t="shared" ref="F6:F8" si="1">F7+$B$2*$B$4</f>
        <v>8</v>
      </c>
      <c r="G6" s="11">
        <f>0.25*(F19+G18+H19+G20)</f>
        <v>8.0283446536118888</v>
      </c>
      <c r="H6" s="11">
        <f t="shared" ref="H6:S6" si="2">0.25*(G19+H18+I19+H20)</f>
        <v>8.0648681706752186</v>
      </c>
      <c r="I6" s="11">
        <f t="shared" si="2"/>
        <v>8.1180730284595963</v>
      </c>
      <c r="J6" s="11">
        <f t="shared" si="2"/>
        <v>8.1952172103898722</v>
      </c>
      <c r="K6" s="11">
        <f t="shared" si="2"/>
        <v>8.296886994359987</v>
      </c>
      <c r="L6" s="11">
        <f t="shared" si="2"/>
        <v>8.4102907540808509</v>
      </c>
      <c r="M6" s="11">
        <f t="shared" si="2"/>
        <v>8.5221491515603631</v>
      </c>
      <c r="N6" s="11">
        <f t="shared" si="2"/>
        <v>8.6241902045622538</v>
      </c>
      <c r="O6" s="11">
        <f t="shared" si="2"/>
        <v>8.7130064632652147</v>
      </c>
      <c r="P6" s="11">
        <f t="shared" si="2"/>
        <v>8.7884288893720282</v>
      </c>
      <c r="Q6" s="11">
        <f t="shared" si="2"/>
        <v>8.8521085576106415</v>
      </c>
      <c r="R6" s="11">
        <f t="shared" si="2"/>
        <v>8.9066038242224241</v>
      </c>
      <c r="S6" s="11">
        <f t="shared" si="2"/>
        <v>8.9548688221783639</v>
      </c>
      <c r="T6" s="4">
        <f t="shared" ref="T6:T13" si="3">T7+$B$2*$B$6</f>
        <v>9</v>
      </c>
      <c r="U6" s="2">
        <v>10</v>
      </c>
      <c r="W6" s="5" t="s">
        <v>19</v>
      </c>
      <c r="X6" s="8">
        <f>F10</f>
        <v>0</v>
      </c>
      <c r="Y6" s="8">
        <f t="shared" ref="Y6:AA6" si="4">G10</f>
        <v>0</v>
      </c>
      <c r="Z6" s="8">
        <f t="shared" si="4"/>
        <v>0</v>
      </c>
      <c r="AA6" s="8">
        <f t="shared" si="4"/>
        <v>0</v>
      </c>
      <c r="AB6" s="8">
        <f>J10</f>
        <v>0</v>
      </c>
      <c r="AC6" s="8">
        <f>K11</f>
        <v>0</v>
      </c>
      <c r="AD6" s="8">
        <f>L12</f>
        <v>0</v>
      </c>
      <c r="AE6" s="8">
        <f>M13</f>
        <v>0</v>
      </c>
      <c r="AF6" s="8">
        <f>N14</f>
        <v>0</v>
      </c>
      <c r="AG6" s="8">
        <f t="shared" ref="AG6:AL6" si="5">O15</f>
        <v>0</v>
      </c>
      <c r="AH6" s="8">
        <f t="shared" si="5"/>
        <v>0</v>
      </c>
      <c r="AI6" s="8">
        <f t="shared" si="5"/>
        <v>0</v>
      </c>
      <c r="AJ6" s="8">
        <f t="shared" si="5"/>
        <v>0</v>
      </c>
      <c r="AK6" s="8">
        <f t="shared" si="5"/>
        <v>0</v>
      </c>
      <c r="AL6" s="8">
        <f t="shared" si="5"/>
        <v>0</v>
      </c>
    </row>
    <row r="7" spans="1:38" x14ac:dyDescent="0.25">
      <c r="E7" s="9">
        <f t="shared" si="0"/>
        <v>1.5999999999999999</v>
      </c>
      <c r="F7" s="10">
        <f t="shared" si="1"/>
        <v>6</v>
      </c>
      <c r="G7" s="11">
        <f t="shared" ref="G7:S14" si="6">0.25*(F20+G19+H20+G21)</f>
        <v>6.0485104437723365</v>
      </c>
      <c r="H7" s="11">
        <f t="shared" si="6"/>
        <v>6.1130550006293838</v>
      </c>
      <c r="I7" s="11">
        <f t="shared" si="6"/>
        <v>6.2122067327732955</v>
      </c>
      <c r="J7" s="11">
        <f t="shared" si="6"/>
        <v>6.3659088187399036</v>
      </c>
      <c r="K7" s="11">
        <f t="shared" si="6"/>
        <v>6.5820400129692267</v>
      </c>
      <c r="L7" s="11">
        <f t="shared" si="6"/>
        <v>6.8221268704030535</v>
      </c>
      <c r="M7" s="11">
        <f t="shared" si="6"/>
        <v>7.0541156475983513</v>
      </c>
      <c r="N7" s="11">
        <f t="shared" si="6"/>
        <v>7.2616052034234357</v>
      </c>
      <c r="O7" s="11">
        <f t="shared" si="6"/>
        <v>7.4394067591265785</v>
      </c>
      <c r="P7" s="11">
        <f t="shared" si="6"/>
        <v>7.5886005366122538</v>
      </c>
      <c r="Q7" s="11">
        <f t="shared" si="6"/>
        <v>7.7134015168481191</v>
      </c>
      <c r="R7" s="11">
        <f t="shared" si="6"/>
        <v>7.8194379171006929</v>
      </c>
      <c r="S7" s="11">
        <f t="shared" si="6"/>
        <v>7.9128714644910323</v>
      </c>
      <c r="T7" s="4">
        <f t="shared" si="3"/>
        <v>8</v>
      </c>
      <c r="U7" s="2">
        <v>9</v>
      </c>
      <c r="W7" s="1" t="s">
        <v>11</v>
      </c>
      <c r="X7" s="8">
        <f>F16</f>
        <v>0</v>
      </c>
      <c r="Y7" s="8">
        <f t="shared" ref="Y7:AL7" si="7">G16</f>
        <v>0.2</v>
      </c>
      <c r="Z7" s="8">
        <f t="shared" si="7"/>
        <v>0.4</v>
      </c>
      <c r="AA7" s="8">
        <f t="shared" si="7"/>
        <v>0.60000000000000009</v>
      </c>
      <c r="AB7" s="8">
        <f t="shared" si="7"/>
        <v>1</v>
      </c>
      <c r="AC7" s="8">
        <f t="shared" si="7"/>
        <v>1.2</v>
      </c>
      <c r="AD7" s="8">
        <f t="shared" si="7"/>
        <v>1.4</v>
      </c>
      <c r="AE7" s="8">
        <f t="shared" si="7"/>
        <v>1.5999999999999999</v>
      </c>
      <c r="AF7" s="8">
        <f t="shared" si="7"/>
        <v>2</v>
      </c>
      <c r="AG7" s="8">
        <f t="shared" si="7"/>
        <v>2.2000000000000002</v>
      </c>
      <c r="AH7" s="8">
        <f t="shared" si="7"/>
        <v>2.4000000000000004</v>
      </c>
      <c r="AI7" s="8">
        <f t="shared" si="7"/>
        <v>2.6000000000000005</v>
      </c>
      <c r="AJ7" s="8">
        <f t="shared" si="7"/>
        <v>3</v>
      </c>
      <c r="AK7" s="8">
        <f t="shared" si="7"/>
        <v>3.2</v>
      </c>
      <c r="AL7" s="8">
        <f t="shared" si="7"/>
        <v>3.4000000000000004</v>
      </c>
    </row>
    <row r="8" spans="1:38" x14ac:dyDescent="0.25">
      <c r="E8" s="9">
        <f t="shared" si="0"/>
        <v>1.4</v>
      </c>
      <c r="F8" s="10">
        <f t="shared" si="1"/>
        <v>4</v>
      </c>
      <c r="G8" s="11">
        <f t="shared" si="6"/>
        <v>4.0526421208480716</v>
      </c>
      <c r="H8" s="11">
        <f t="shared" si="6"/>
        <v>4.1266346552966855</v>
      </c>
      <c r="I8" s="11">
        <f t="shared" si="6"/>
        <v>4.2517900832642992</v>
      </c>
      <c r="J8" s="11">
        <f t="shared" si="6"/>
        <v>4.474171318827219</v>
      </c>
      <c r="K8" s="11">
        <f t="shared" si="6"/>
        <v>4.8432373683739627</v>
      </c>
      <c r="L8" s="11">
        <f t="shared" si="6"/>
        <v>5.2420610669637844</v>
      </c>
      <c r="M8" s="11">
        <f t="shared" si="6"/>
        <v>5.6105813650065546</v>
      </c>
      <c r="N8" s="11">
        <f t="shared" si="6"/>
        <v>5.9287082024065612</v>
      </c>
      <c r="O8" s="11">
        <f t="shared" si="6"/>
        <v>6.1944148332054123</v>
      </c>
      <c r="P8" s="11">
        <f t="shared" si="6"/>
        <v>6.4131649811022911</v>
      </c>
      <c r="Q8" s="11">
        <f t="shared" si="6"/>
        <v>6.5934590560688875</v>
      </c>
      <c r="R8" s="11">
        <f t="shared" si="6"/>
        <v>6.7448748628411952</v>
      </c>
      <c r="S8" s="11">
        <f t="shared" si="6"/>
        <v>6.8771791186850733</v>
      </c>
      <c r="T8" s="4">
        <f t="shared" si="3"/>
        <v>7</v>
      </c>
      <c r="U8" s="2">
        <v>8</v>
      </c>
      <c r="W8" s="1" t="s">
        <v>12</v>
      </c>
      <c r="X8" s="8">
        <f>$E10</f>
        <v>1</v>
      </c>
      <c r="Y8" s="8">
        <f t="shared" ref="Y8:AB8" si="8">$E10</f>
        <v>1</v>
      </c>
      <c r="Z8" s="8">
        <f t="shared" si="8"/>
        <v>1</v>
      </c>
      <c r="AA8" s="8">
        <f t="shared" si="8"/>
        <v>1</v>
      </c>
      <c r="AB8" s="8">
        <f t="shared" si="8"/>
        <v>1</v>
      </c>
      <c r="AC8" s="8">
        <f>E11</f>
        <v>0.8</v>
      </c>
      <c r="AD8" s="8">
        <f>E12</f>
        <v>0.60000000000000009</v>
      </c>
      <c r="AE8" s="8">
        <f>E13</f>
        <v>0.4</v>
      </c>
      <c r="AF8" s="8">
        <f>E14</f>
        <v>0.2</v>
      </c>
      <c r="AG8" s="8">
        <f>E15</f>
        <v>0</v>
      </c>
      <c r="AH8" s="8">
        <f t="shared" ref="AH8:AL8" si="9">F15</f>
        <v>0</v>
      </c>
      <c r="AI8" s="8">
        <f t="shared" si="9"/>
        <v>0</v>
      </c>
      <c r="AJ8" s="8">
        <f t="shared" si="9"/>
        <v>0</v>
      </c>
      <c r="AK8" s="8">
        <f t="shared" si="9"/>
        <v>0</v>
      </c>
      <c r="AL8" s="8">
        <f t="shared" si="9"/>
        <v>0</v>
      </c>
    </row>
    <row r="9" spans="1:38" x14ac:dyDescent="0.25">
      <c r="E9" s="9">
        <f t="shared" si="0"/>
        <v>1.2</v>
      </c>
      <c r="F9" s="10">
        <f>F10+$B$2*$B$4</f>
        <v>2</v>
      </c>
      <c r="G9" s="11">
        <f t="shared" si="6"/>
        <v>2.0354233843232645</v>
      </c>
      <c r="H9" s="11">
        <f t="shared" si="6"/>
        <v>2.0890514164449874</v>
      </c>
      <c r="I9" s="11">
        <f t="shared" si="6"/>
        <v>2.194147626159999</v>
      </c>
      <c r="J9" s="11">
        <f t="shared" si="6"/>
        <v>2.4357490049307096</v>
      </c>
      <c r="K9" s="11">
        <f t="shared" si="6"/>
        <v>3.0746770747356207</v>
      </c>
      <c r="L9" s="11">
        <f t="shared" si="6"/>
        <v>3.6922986640715694</v>
      </c>
      <c r="M9" s="11">
        <f t="shared" si="6"/>
        <v>4.2174405430575206</v>
      </c>
      <c r="N9" s="11">
        <f t="shared" si="6"/>
        <v>4.6482314079908402</v>
      </c>
      <c r="O9" s="11">
        <f t="shared" si="6"/>
        <v>4.9963793901862186</v>
      </c>
      <c r="P9" s="11">
        <f t="shared" si="6"/>
        <v>5.2761854985226133</v>
      </c>
      <c r="Q9" s="11">
        <f t="shared" si="6"/>
        <v>5.5023948634839446</v>
      </c>
      <c r="R9" s="11">
        <f t="shared" si="6"/>
        <v>5.6894233595101253</v>
      </c>
      <c r="S9" s="11">
        <f t="shared" si="6"/>
        <v>5.8509701474080664</v>
      </c>
      <c r="T9" s="4">
        <f t="shared" si="3"/>
        <v>6</v>
      </c>
      <c r="U9" s="2">
        <v>7</v>
      </c>
      <c r="W9" s="1" t="s">
        <v>13</v>
      </c>
      <c r="X9" s="8">
        <f>F36</f>
        <v>10</v>
      </c>
      <c r="Y9" s="8">
        <f>G36</f>
        <v>10.177116921616323</v>
      </c>
      <c r="Z9" s="8">
        <f>H36</f>
        <v>10.445257082224936</v>
      </c>
      <c r="AA9" s="8">
        <f>I36</f>
        <v>10.970738130799994</v>
      </c>
      <c r="AB9" s="8">
        <f>J36</f>
        <v>12.178745024653548</v>
      </c>
      <c r="AC9" s="8">
        <f>K37</f>
        <v>6.6371163078312145</v>
      </c>
      <c r="AD9" s="8">
        <f>L38</f>
        <v>5.0084561265923675</v>
      </c>
      <c r="AE9" s="8">
        <f>M39</f>
        <v>3.9931586871215652</v>
      </c>
      <c r="AF9" s="8">
        <f>N40</f>
        <v>3.141698940773463</v>
      </c>
      <c r="AG9" s="8">
        <f t="shared" ref="AG9:AL9" si="10">O41</f>
        <v>2.1832323911911393</v>
      </c>
      <c r="AH9" s="8">
        <f t="shared" si="10"/>
        <v>3.2800239014342512</v>
      </c>
      <c r="AI9" s="8">
        <f t="shared" si="10"/>
        <v>3.9307645589770561</v>
      </c>
      <c r="AJ9" s="8">
        <f t="shared" si="10"/>
        <v>4.3713259855868687</v>
      </c>
      <c r="AK9" s="8">
        <f t="shared" si="10"/>
        <v>4.7077638260594679</v>
      </c>
      <c r="AL9" s="8">
        <f t="shared" si="10"/>
        <v>5</v>
      </c>
    </row>
    <row r="10" spans="1:38" x14ac:dyDescent="0.25">
      <c r="A10" s="1" t="s">
        <v>4</v>
      </c>
      <c r="B10" s="1">
        <v>300</v>
      </c>
      <c r="C10">
        <v>301</v>
      </c>
      <c r="E10" s="9">
        <f t="shared" si="0"/>
        <v>1</v>
      </c>
      <c r="F10" s="10">
        <f>0</f>
        <v>0</v>
      </c>
      <c r="G10" s="10">
        <f>0</f>
        <v>0</v>
      </c>
      <c r="H10" s="10">
        <f>0</f>
        <v>0</v>
      </c>
      <c r="I10" s="10">
        <f>0</f>
        <v>0</v>
      </c>
      <c r="J10" s="10">
        <f>0</f>
        <v>0</v>
      </c>
      <c r="K10" s="11">
        <f t="shared" si="6"/>
        <v>1.3274232615662429</v>
      </c>
      <c r="L10" s="11">
        <f t="shared" si="6"/>
        <v>2.2350159715293509</v>
      </c>
      <c r="M10" s="11">
        <f t="shared" si="6"/>
        <v>2.9186507351611182</v>
      </c>
      <c r="N10" s="11">
        <f t="shared" si="6"/>
        <v>3.4503974963130588</v>
      </c>
      <c r="O10" s="11">
        <f t="shared" si="6"/>
        <v>3.8666858210260093</v>
      </c>
      <c r="P10" s="11">
        <f t="shared" si="6"/>
        <v>4.1928027593179982</v>
      </c>
      <c r="Q10" s="11">
        <f t="shared" si="6"/>
        <v>4.4505115398341548</v>
      </c>
      <c r="R10" s="11">
        <f t="shared" si="6"/>
        <v>4.6594535643072961</v>
      </c>
      <c r="S10" s="11">
        <f t="shared" si="6"/>
        <v>4.8372781114370671</v>
      </c>
      <c r="T10" s="4">
        <f t="shared" si="3"/>
        <v>5</v>
      </c>
      <c r="U10" s="2">
        <v>6</v>
      </c>
      <c r="W10" s="1" t="s">
        <v>14</v>
      </c>
      <c r="X10" s="8">
        <f>F49</f>
        <v>0</v>
      </c>
      <c r="Y10" s="8">
        <f>G49</f>
        <v>0</v>
      </c>
      <c r="Z10" s="8">
        <f>H49</f>
        <v>0</v>
      </c>
      <c r="AA10" s="8">
        <f>I49</f>
        <v>0</v>
      </c>
      <c r="AB10" s="8">
        <f>J49</f>
        <v>-6.6371163078312145</v>
      </c>
      <c r="AC10" s="8">
        <f>K50</f>
        <v>-5.0084561265923675</v>
      </c>
      <c r="AD10" s="8">
        <f>L51</f>
        <v>-3.9931586871215652</v>
      </c>
      <c r="AE10" s="8">
        <f>M52</f>
        <v>-3.141698940773463</v>
      </c>
      <c r="AF10" s="8">
        <f>N53</f>
        <v>-2.1832323911911393</v>
      </c>
      <c r="AG10" s="8">
        <f t="shared" ref="AG10:AL10" si="11">O54</f>
        <v>0</v>
      </c>
      <c r="AH10" s="8">
        <f t="shared" si="11"/>
        <v>0</v>
      </c>
      <c r="AI10" s="8">
        <f t="shared" si="11"/>
        <v>0</v>
      </c>
      <c r="AJ10" s="8">
        <f t="shared" si="11"/>
        <v>0</v>
      </c>
      <c r="AK10" s="8">
        <f t="shared" si="11"/>
        <v>0</v>
      </c>
      <c r="AL10" s="8">
        <f t="shared" si="11"/>
        <v>0</v>
      </c>
    </row>
    <row r="11" spans="1:38" x14ac:dyDescent="0.25">
      <c r="E11" s="9">
        <f t="shared" si="0"/>
        <v>0.8</v>
      </c>
      <c r="F11" s="12"/>
      <c r="G11" s="12"/>
      <c r="H11" s="12"/>
      <c r="I11" s="12"/>
      <c r="J11" s="12"/>
      <c r="K11" s="10">
        <v>0</v>
      </c>
      <c r="L11" s="11">
        <f t="shared" si="6"/>
        <v>1.0016912253184735</v>
      </c>
      <c r="M11" s="11">
        <f t="shared" si="6"/>
        <v>1.7717489297445432</v>
      </c>
      <c r="N11" s="11">
        <f t="shared" si="6"/>
        <v>2.3680220210742684</v>
      </c>
      <c r="O11" s="11">
        <f t="shared" si="6"/>
        <v>2.8271636382867635</v>
      </c>
      <c r="P11" s="11">
        <f t="shared" si="6"/>
        <v>3.1778281778892148</v>
      </c>
      <c r="Q11" s="11">
        <f t="shared" si="6"/>
        <v>3.4473949722273822</v>
      </c>
      <c r="R11" s="11">
        <f t="shared" si="6"/>
        <v>3.6606012464478379</v>
      </c>
      <c r="S11" s="11">
        <f t="shared" si="6"/>
        <v>3.8386887340329059</v>
      </c>
      <c r="T11" s="4">
        <f t="shared" si="3"/>
        <v>4</v>
      </c>
      <c r="U11" s="2">
        <v>5</v>
      </c>
      <c r="W11" s="1" t="s">
        <v>15</v>
      </c>
      <c r="X11" s="8">
        <f>F62</f>
        <v>10</v>
      </c>
      <c r="Y11" s="8">
        <f>G62</f>
        <v>10.177116921616323</v>
      </c>
      <c r="Z11" s="8">
        <f>H62</f>
        <v>10.445257082224936</v>
      </c>
      <c r="AA11" s="8">
        <f>I62</f>
        <v>10.970738130799994</v>
      </c>
      <c r="AB11" s="8">
        <f>J62</f>
        <v>13.869864572489618</v>
      </c>
      <c r="AC11" s="8">
        <f>K63</f>
        <v>8.3148028031745689</v>
      </c>
      <c r="AD11" s="8">
        <f>L64</f>
        <v>6.405462440178308</v>
      </c>
      <c r="AE11" s="8">
        <f>M65</f>
        <v>5.0809043028767542</v>
      </c>
      <c r="AF11" s="8">
        <f>N66</f>
        <v>3.825803955824616</v>
      </c>
      <c r="AG11" s="8">
        <f t="shared" ref="AG11:AL11" si="12">O67</f>
        <v>2.1832323911911393</v>
      </c>
      <c r="AH11" s="8">
        <f t="shared" si="12"/>
        <v>3.2800239014342512</v>
      </c>
      <c r="AI11" s="8">
        <f t="shared" si="12"/>
        <v>3.9307645589770561</v>
      </c>
      <c r="AJ11" s="8">
        <f t="shared" si="12"/>
        <v>4.3713259855868687</v>
      </c>
      <c r="AK11" s="8">
        <f t="shared" si="12"/>
        <v>4.7077638260594679</v>
      </c>
      <c r="AL11" s="8">
        <f t="shared" si="12"/>
        <v>5</v>
      </c>
    </row>
    <row r="12" spans="1:38" x14ac:dyDescent="0.25">
      <c r="A12" s="1" t="s">
        <v>5</v>
      </c>
      <c r="B12" s="1">
        <f>15</f>
        <v>15</v>
      </c>
      <c r="E12" s="9">
        <f t="shared" si="0"/>
        <v>0.60000000000000009</v>
      </c>
      <c r="F12" s="12"/>
      <c r="G12" s="12"/>
      <c r="H12" s="12"/>
      <c r="I12" s="12"/>
      <c r="J12" s="12"/>
      <c r="K12" s="12"/>
      <c r="L12" s="10">
        <v>0</v>
      </c>
      <c r="M12" s="11">
        <f t="shared" si="6"/>
        <v>0.79863173742431304</v>
      </c>
      <c r="N12" s="11">
        <f t="shared" si="6"/>
        <v>1.4227780199527089</v>
      </c>
      <c r="O12" s="11">
        <f t="shared" si="6"/>
        <v>1.8961185331575621</v>
      </c>
      <c r="P12" s="11">
        <f t="shared" si="6"/>
        <v>2.2439513417247148</v>
      </c>
      <c r="Q12" s="11">
        <f t="shared" si="6"/>
        <v>2.5006389247383209</v>
      </c>
      <c r="R12" s="11">
        <f t="shared" si="6"/>
        <v>2.6968677152237666</v>
      </c>
      <c r="S12" s="11">
        <f t="shared" si="6"/>
        <v>2.8568755782467181</v>
      </c>
      <c r="T12" s="4">
        <f t="shared" si="3"/>
        <v>3</v>
      </c>
      <c r="U12" s="2">
        <v>4</v>
      </c>
      <c r="W12" s="1" t="s">
        <v>16</v>
      </c>
      <c r="X12" s="8">
        <f>B5</f>
        <v>101325</v>
      </c>
      <c r="Y12" s="8">
        <f>X$12-(+Y11)^2/2+(X11)^2/2</f>
        <v>101323.21314558187</v>
      </c>
      <c r="Z12" s="8">
        <f>Y$12-(+Z11)^2/2+(Y11)^2/2</f>
        <v>101320.44830224311</v>
      </c>
      <c r="AA12" s="8">
        <f t="shared" ref="AA12:AL12" si="13">Z$12-(+AA11)^2/2+(Z11)^2/2</f>
        <v>101314.8214524327</v>
      </c>
      <c r="AB12" s="8">
        <f t="shared" si="13"/>
        <v>101278.8134283704</v>
      </c>
      <c r="AC12" s="8">
        <f t="shared" si="13"/>
        <v>101340.43202717217</v>
      </c>
      <c r="AD12" s="8">
        <f t="shared" si="13"/>
        <v>101354.48502546373</v>
      </c>
      <c r="AE12" s="8">
        <f t="shared" si="13"/>
        <v>101362.09220573251</v>
      </c>
      <c r="AF12" s="8">
        <f t="shared" si="13"/>
        <v>101367.6816120458</v>
      </c>
      <c r="AG12" s="8">
        <f t="shared" si="13"/>
        <v>101372.61674816303</v>
      </c>
      <c r="AH12" s="8">
        <f t="shared" si="13"/>
        <v>101369.62072160302</v>
      </c>
      <c r="AI12" s="8">
        <f t="shared" si="13"/>
        <v>101367.27454499094</v>
      </c>
      <c r="AJ12" s="8">
        <f t="shared" si="13"/>
        <v>101365.44575456387</v>
      </c>
      <c r="AK12" s="8">
        <f t="shared" si="13"/>
        <v>101363.91847987902</v>
      </c>
      <c r="AL12" s="8">
        <f t="shared" si="13"/>
        <v>101362.5</v>
      </c>
    </row>
    <row r="13" spans="1:38" x14ac:dyDescent="0.25">
      <c r="A13" s="1" t="s">
        <v>6</v>
      </c>
      <c r="B13" s="1">
        <f>11</f>
        <v>11</v>
      </c>
      <c r="E13" s="9">
        <f t="shared" si="0"/>
        <v>0.4</v>
      </c>
      <c r="F13" s="12"/>
      <c r="G13" s="12"/>
      <c r="H13" s="12"/>
      <c r="I13" s="12"/>
      <c r="J13" s="12"/>
      <c r="K13" s="12"/>
      <c r="L13" s="12"/>
      <c r="M13" s="10">
        <v>0</v>
      </c>
      <c r="N13" s="11">
        <f t="shared" si="6"/>
        <v>0.6283397881546926</v>
      </c>
      <c r="O13" s="11">
        <f t="shared" si="6"/>
        <v>1.0905811326660613</v>
      </c>
      <c r="P13" s="11">
        <f t="shared" si="6"/>
        <v>1.401219731113762</v>
      </c>
      <c r="Q13" s="11">
        <f t="shared" si="6"/>
        <v>1.6143416697774211</v>
      </c>
      <c r="R13" s="11">
        <f t="shared" si="6"/>
        <v>1.7693551114621906</v>
      </c>
      <c r="S13" s="11">
        <f t="shared" si="6"/>
        <v>1.8919458637302005</v>
      </c>
      <c r="T13" s="4">
        <f t="shared" si="3"/>
        <v>2</v>
      </c>
      <c r="U13" s="2">
        <v>3</v>
      </c>
      <c r="W13" s="1" t="s">
        <v>17</v>
      </c>
      <c r="X13" s="8">
        <f>(X12-$B$5)/(($B$4^2/2))</f>
        <v>0</v>
      </c>
      <c r="Y13" s="8">
        <f t="shared" ref="Y13:AL13" si="14">(Y12-$B$5)/(($B$4^2/2))</f>
        <v>-3.5737088362511715E-2</v>
      </c>
      <c r="Z13" s="8">
        <f t="shared" si="14"/>
        <v>-9.103395513782743E-2</v>
      </c>
      <c r="AA13" s="8">
        <f t="shared" si="14"/>
        <v>-0.20357095134590053</v>
      </c>
      <c r="AB13" s="8">
        <f t="shared" si="14"/>
        <v>-0.92373143259203061</v>
      </c>
      <c r="AC13" s="8">
        <f t="shared" si="14"/>
        <v>0.30864054344332542</v>
      </c>
      <c r="AD13" s="8">
        <f t="shared" si="14"/>
        <v>0.58970050927455309</v>
      </c>
      <c r="AE13" s="8">
        <f t="shared" si="14"/>
        <v>0.74184411465015732</v>
      </c>
      <c r="AF13" s="8">
        <f t="shared" si="14"/>
        <v>0.85363224091590384</v>
      </c>
      <c r="AG13" s="8">
        <f t="shared" si="14"/>
        <v>0.95233496326050959</v>
      </c>
      <c r="AH13" s="8">
        <f t="shared" si="14"/>
        <v>0.89241443206032267</v>
      </c>
      <c r="AI13" s="8">
        <f t="shared" si="14"/>
        <v>0.84549089981883296</v>
      </c>
      <c r="AJ13" s="8">
        <f t="shared" si="14"/>
        <v>0.80891509127744943</v>
      </c>
      <c r="AK13" s="8">
        <f t="shared" si="14"/>
        <v>0.77836959758045854</v>
      </c>
      <c r="AL13" s="8">
        <f t="shared" si="14"/>
        <v>0.75</v>
      </c>
    </row>
    <row r="14" spans="1:38" x14ac:dyDescent="0.25">
      <c r="A14" s="1" t="s">
        <v>7</v>
      </c>
      <c r="B14" s="1">
        <f>15</f>
        <v>15</v>
      </c>
      <c r="E14" s="9">
        <f>E15+$B$2</f>
        <v>0.2</v>
      </c>
      <c r="F14" s="12"/>
      <c r="G14" s="12"/>
      <c r="H14" s="12"/>
      <c r="I14" s="12"/>
      <c r="J14" s="12"/>
      <c r="K14" s="12"/>
      <c r="L14" s="12"/>
      <c r="M14" s="12"/>
      <c r="N14" s="10">
        <v>0</v>
      </c>
      <c r="O14" s="11">
        <f t="shared" si="6"/>
        <v>0.43664647823822789</v>
      </c>
      <c r="P14" s="11">
        <f t="shared" si="6"/>
        <v>0.65600478028685028</v>
      </c>
      <c r="Q14" s="11">
        <f t="shared" si="6"/>
        <v>0.78615291179541125</v>
      </c>
      <c r="R14" s="11">
        <f t="shared" si="6"/>
        <v>0.87426519711737383</v>
      </c>
      <c r="S14" s="11">
        <f t="shared" si="6"/>
        <v>0.94155276521189357</v>
      </c>
      <c r="T14" s="4">
        <f>T15+$B$2*$B$6</f>
        <v>1</v>
      </c>
      <c r="U14" s="2">
        <v>2</v>
      </c>
    </row>
    <row r="15" spans="1:38" x14ac:dyDescent="0.25">
      <c r="A15" s="1" t="s">
        <v>8</v>
      </c>
      <c r="B15" s="1">
        <f>6</f>
        <v>6</v>
      </c>
      <c r="E15" s="9">
        <f>0</f>
        <v>0</v>
      </c>
      <c r="F15" s="12"/>
      <c r="G15" s="12"/>
      <c r="H15" s="12"/>
      <c r="I15" s="12"/>
      <c r="J15" s="12"/>
      <c r="K15" s="12"/>
      <c r="L15" s="12"/>
      <c r="M15" s="12"/>
      <c r="N15" s="12"/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4">
        <v>0</v>
      </c>
      <c r="U15" s="2">
        <v>1</v>
      </c>
    </row>
    <row r="16" spans="1:38" x14ac:dyDescent="0.25">
      <c r="A16" s="1" t="s">
        <v>9</v>
      </c>
      <c r="B16" s="1">
        <v>0</v>
      </c>
      <c r="F16" s="9">
        <v>0</v>
      </c>
      <c r="G16" s="9">
        <f>F16+$B$2</f>
        <v>0.2</v>
      </c>
      <c r="H16" s="9">
        <f t="shared" ref="H16:I16" si="15">G16+$B$2</f>
        <v>0.4</v>
      </c>
      <c r="I16" s="9">
        <f t="shared" si="15"/>
        <v>0.60000000000000009</v>
      </c>
      <c r="J16" s="9">
        <v>1</v>
      </c>
      <c r="K16" s="9">
        <f t="shared" ref="K16" si="16">J16+$B$2</f>
        <v>1.2</v>
      </c>
      <c r="L16" s="9">
        <f t="shared" ref="L16" si="17">K16+$B$2</f>
        <v>1.4</v>
      </c>
      <c r="M16" s="9">
        <f t="shared" ref="M16" si="18">L16+$B$2</f>
        <v>1.5999999999999999</v>
      </c>
      <c r="N16" s="9">
        <v>2</v>
      </c>
      <c r="O16" s="9">
        <f t="shared" ref="O16" si="19">N16+$B$2</f>
        <v>2.2000000000000002</v>
      </c>
      <c r="P16" s="9">
        <f t="shared" ref="P16" si="20">O16+$B$2</f>
        <v>2.4000000000000004</v>
      </c>
      <c r="Q16" s="9">
        <f t="shared" ref="Q16" si="21">P16+$B$2</f>
        <v>2.6000000000000005</v>
      </c>
      <c r="R16" s="9">
        <v>3</v>
      </c>
      <c r="S16" s="9">
        <f t="shared" ref="S16" si="22">R16+$B$2</f>
        <v>3.2</v>
      </c>
      <c r="T16" s="9">
        <f t="shared" ref="T16" si="23">S16+$B$2</f>
        <v>3.4000000000000004</v>
      </c>
    </row>
    <row r="17" spans="4:38" x14ac:dyDescent="0.25">
      <c r="W17" s="16" t="s">
        <v>18</v>
      </c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</row>
    <row r="18" spans="4:38" x14ac:dyDescent="0.25">
      <c r="E18" s="9">
        <f t="shared" ref="E18:E26" si="24">E19+$B$2</f>
        <v>1.9999999999999998</v>
      </c>
      <c r="F18" s="13">
        <v>10</v>
      </c>
      <c r="G18" s="13">
        <v>10</v>
      </c>
      <c r="H18" s="13">
        <v>10</v>
      </c>
      <c r="I18" s="13">
        <v>10</v>
      </c>
      <c r="J18" s="13">
        <v>10</v>
      </c>
      <c r="K18" s="13">
        <v>10</v>
      </c>
      <c r="L18" s="13">
        <v>10</v>
      </c>
      <c r="M18" s="13">
        <v>10</v>
      </c>
      <c r="N18" s="13">
        <v>10</v>
      </c>
      <c r="O18" s="13">
        <v>10</v>
      </c>
      <c r="P18" s="13">
        <v>10</v>
      </c>
      <c r="Q18" s="13">
        <v>10</v>
      </c>
      <c r="R18" s="13">
        <v>10</v>
      </c>
      <c r="S18" s="13">
        <v>10</v>
      </c>
      <c r="T18" s="13">
        <v>10</v>
      </c>
      <c r="U18" s="2">
        <v>11</v>
      </c>
      <c r="W18" s="1">
        <v>0</v>
      </c>
      <c r="X18" s="1">
        <v>1</v>
      </c>
      <c r="Y18" s="1">
        <v>2</v>
      </c>
      <c r="Z18" s="1">
        <v>3</v>
      </c>
      <c r="AA18" s="1">
        <v>4</v>
      </c>
      <c r="AB18" s="1">
        <v>5</v>
      </c>
      <c r="AC18" s="1">
        <v>6</v>
      </c>
      <c r="AD18" s="1">
        <v>7</v>
      </c>
      <c r="AE18" s="1">
        <v>8</v>
      </c>
      <c r="AF18" s="1">
        <v>9</v>
      </c>
      <c r="AG18" s="1">
        <v>10</v>
      </c>
      <c r="AH18" s="1">
        <v>11</v>
      </c>
      <c r="AI18" s="1">
        <v>12</v>
      </c>
      <c r="AJ18" s="1">
        <v>13</v>
      </c>
      <c r="AK18" s="1">
        <v>14</v>
      </c>
      <c r="AL18" s="1">
        <v>15</v>
      </c>
    </row>
    <row r="19" spans="4:38" x14ac:dyDescent="0.25">
      <c r="E19" s="9">
        <f t="shared" si="24"/>
        <v>1.7999999999999998</v>
      </c>
      <c r="F19" s="13">
        <v>8</v>
      </c>
      <c r="G19" s="8">
        <v>8.0283446536118888</v>
      </c>
      <c r="H19" s="8">
        <v>8.0648681706752186</v>
      </c>
      <c r="I19" s="8">
        <v>8.1180730284595963</v>
      </c>
      <c r="J19" s="8">
        <v>8.1952172103898722</v>
      </c>
      <c r="K19" s="8">
        <v>8.296886994359987</v>
      </c>
      <c r="L19" s="8">
        <v>8.4102907540808509</v>
      </c>
      <c r="M19" s="8">
        <v>8.5221491515603631</v>
      </c>
      <c r="N19" s="8">
        <v>8.6241902045622538</v>
      </c>
      <c r="O19" s="8">
        <v>8.7130064632652147</v>
      </c>
      <c r="P19" s="8">
        <v>8.7884288893720282</v>
      </c>
      <c r="Q19" s="8">
        <v>8.8521085576106415</v>
      </c>
      <c r="R19" s="8">
        <v>8.9066038242224241</v>
      </c>
      <c r="S19" s="8">
        <v>8.9548688221783639</v>
      </c>
      <c r="T19" s="13">
        <v>9</v>
      </c>
      <c r="U19" s="2">
        <v>10</v>
      </c>
      <c r="W19" s="5" t="s">
        <v>19</v>
      </c>
      <c r="X19" s="8">
        <f>F5</f>
        <v>10</v>
      </c>
      <c r="Y19" s="8">
        <f t="shared" ref="Y19:AL19" si="25">G5</f>
        <v>10</v>
      </c>
      <c r="Z19" s="8">
        <f t="shared" si="25"/>
        <v>10</v>
      </c>
      <c r="AA19" s="8">
        <f t="shared" si="25"/>
        <v>10</v>
      </c>
      <c r="AB19" s="8">
        <f t="shared" si="25"/>
        <v>10</v>
      </c>
      <c r="AC19" s="8">
        <f t="shared" si="25"/>
        <v>10</v>
      </c>
      <c r="AD19" s="8">
        <f t="shared" si="25"/>
        <v>10</v>
      </c>
      <c r="AE19" s="8">
        <f t="shared" si="25"/>
        <v>10</v>
      </c>
      <c r="AF19" s="8">
        <f t="shared" si="25"/>
        <v>10</v>
      </c>
      <c r="AG19" s="8">
        <f t="shared" si="25"/>
        <v>10</v>
      </c>
      <c r="AH19" s="8">
        <f t="shared" si="25"/>
        <v>10</v>
      </c>
      <c r="AI19" s="8">
        <f t="shared" si="25"/>
        <v>10</v>
      </c>
      <c r="AJ19" s="8">
        <f t="shared" si="25"/>
        <v>10</v>
      </c>
      <c r="AK19" s="8">
        <f t="shared" si="25"/>
        <v>10</v>
      </c>
      <c r="AL19" s="8">
        <f t="shared" si="25"/>
        <v>10</v>
      </c>
    </row>
    <row r="20" spans="4:38" x14ac:dyDescent="0.25">
      <c r="E20" s="9">
        <f t="shared" si="24"/>
        <v>1.5999999999999999</v>
      </c>
      <c r="F20" s="13">
        <v>6</v>
      </c>
      <c r="G20" s="8">
        <v>6.0485104437723365</v>
      </c>
      <c r="H20" s="8">
        <v>6.1130550006293838</v>
      </c>
      <c r="I20" s="8">
        <v>6.2122067327732955</v>
      </c>
      <c r="J20" s="8">
        <v>6.3659088187399036</v>
      </c>
      <c r="K20" s="8">
        <v>6.5820400129692267</v>
      </c>
      <c r="L20" s="8">
        <v>6.8221268704030535</v>
      </c>
      <c r="M20" s="8">
        <v>7.0541156475983513</v>
      </c>
      <c r="N20" s="8">
        <v>7.2616052034234357</v>
      </c>
      <c r="O20" s="8">
        <v>7.4394067591265785</v>
      </c>
      <c r="P20" s="8">
        <v>7.5886005366122538</v>
      </c>
      <c r="Q20" s="8">
        <v>7.7134015168481191</v>
      </c>
      <c r="R20" s="8">
        <v>7.8194379171006929</v>
      </c>
      <c r="S20" s="8">
        <v>7.9128714644910323</v>
      </c>
      <c r="T20" s="13">
        <v>8</v>
      </c>
      <c r="U20" s="2">
        <v>9</v>
      </c>
      <c r="W20" s="1" t="s">
        <v>11</v>
      </c>
      <c r="X20" s="8">
        <f>F16</f>
        <v>0</v>
      </c>
      <c r="Y20" s="8">
        <f t="shared" ref="Y20:AL20" si="26">G16</f>
        <v>0.2</v>
      </c>
      <c r="Z20" s="8">
        <f t="shared" si="26"/>
        <v>0.4</v>
      </c>
      <c r="AA20" s="8">
        <f t="shared" si="26"/>
        <v>0.60000000000000009</v>
      </c>
      <c r="AB20" s="8">
        <f t="shared" si="26"/>
        <v>1</v>
      </c>
      <c r="AC20" s="8">
        <f t="shared" si="26"/>
        <v>1.2</v>
      </c>
      <c r="AD20" s="8">
        <f t="shared" si="26"/>
        <v>1.4</v>
      </c>
      <c r="AE20" s="8">
        <f t="shared" si="26"/>
        <v>1.5999999999999999</v>
      </c>
      <c r="AF20" s="8">
        <f t="shared" si="26"/>
        <v>2</v>
      </c>
      <c r="AG20" s="8">
        <f t="shared" si="26"/>
        <v>2.2000000000000002</v>
      </c>
      <c r="AH20" s="8">
        <f t="shared" si="26"/>
        <v>2.4000000000000004</v>
      </c>
      <c r="AI20" s="8">
        <f t="shared" si="26"/>
        <v>2.6000000000000005</v>
      </c>
      <c r="AJ20" s="8">
        <f t="shared" si="26"/>
        <v>3</v>
      </c>
      <c r="AK20" s="8">
        <f t="shared" si="26"/>
        <v>3.2</v>
      </c>
      <c r="AL20" s="8">
        <f t="shared" si="26"/>
        <v>3.4000000000000004</v>
      </c>
    </row>
    <row r="21" spans="4:38" x14ac:dyDescent="0.25">
      <c r="E21" s="9">
        <f t="shared" si="24"/>
        <v>1.4</v>
      </c>
      <c r="F21" s="13">
        <v>4</v>
      </c>
      <c r="G21" s="8">
        <v>4.0526421208480716</v>
      </c>
      <c r="H21" s="8">
        <v>4.1266346552966855</v>
      </c>
      <c r="I21" s="8">
        <v>4.2517900832642992</v>
      </c>
      <c r="J21" s="8">
        <v>4.474171318827219</v>
      </c>
      <c r="K21" s="8">
        <v>4.8432373683739627</v>
      </c>
      <c r="L21" s="8">
        <v>5.2420610669637844</v>
      </c>
      <c r="M21" s="8">
        <v>5.6105813650065546</v>
      </c>
      <c r="N21" s="8">
        <v>5.9287082024065612</v>
      </c>
      <c r="O21" s="8">
        <v>6.1944148332054123</v>
      </c>
      <c r="P21" s="8">
        <v>6.4131649811022911</v>
      </c>
      <c r="Q21" s="8">
        <v>6.5934590560688875</v>
      </c>
      <c r="R21" s="8">
        <v>6.7448748628411952</v>
      </c>
      <c r="S21" s="8">
        <v>6.8771791186850733</v>
      </c>
      <c r="T21" s="13">
        <v>7</v>
      </c>
      <c r="U21" s="2">
        <v>8</v>
      </c>
      <c r="W21" s="1" t="s">
        <v>12</v>
      </c>
      <c r="X21" s="8">
        <f>E18</f>
        <v>1.9999999999999998</v>
      </c>
      <c r="Y21" s="8">
        <f>X21</f>
        <v>1.9999999999999998</v>
      </c>
      <c r="Z21" s="8">
        <f t="shared" ref="Z21:AL21" si="27">Y21</f>
        <v>1.9999999999999998</v>
      </c>
      <c r="AA21" s="8">
        <f t="shared" si="27"/>
        <v>1.9999999999999998</v>
      </c>
      <c r="AB21" s="8">
        <f t="shared" si="27"/>
        <v>1.9999999999999998</v>
      </c>
      <c r="AC21" s="8">
        <f t="shared" si="27"/>
        <v>1.9999999999999998</v>
      </c>
      <c r="AD21" s="8">
        <f t="shared" si="27"/>
        <v>1.9999999999999998</v>
      </c>
      <c r="AE21" s="8">
        <f t="shared" si="27"/>
        <v>1.9999999999999998</v>
      </c>
      <c r="AF21" s="8">
        <f t="shared" si="27"/>
        <v>1.9999999999999998</v>
      </c>
      <c r="AG21" s="8">
        <f t="shared" si="27"/>
        <v>1.9999999999999998</v>
      </c>
      <c r="AH21" s="8">
        <f t="shared" si="27"/>
        <v>1.9999999999999998</v>
      </c>
      <c r="AI21" s="8">
        <f t="shared" si="27"/>
        <v>1.9999999999999998</v>
      </c>
      <c r="AJ21" s="8">
        <f t="shared" si="27"/>
        <v>1.9999999999999998</v>
      </c>
      <c r="AK21" s="8">
        <f t="shared" si="27"/>
        <v>1.9999999999999998</v>
      </c>
      <c r="AL21" s="8">
        <f t="shared" si="27"/>
        <v>1.9999999999999998</v>
      </c>
    </row>
    <row r="22" spans="4:38" x14ac:dyDescent="0.25">
      <c r="E22" s="9">
        <f t="shared" si="24"/>
        <v>1.2</v>
      </c>
      <c r="F22" s="13">
        <v>2</v>
      </c>
      <c r="G22" s="8">
        <v>2.0354233843232645</v>
      </c>
      <c r="H22" s="8">
        <v>2.0890514164449874</v>
      </c>
      <c r="I22" s="8">
        <v>2.194147626159999</v>
      </c>
      <c r="J22" s="8">
        <v>2.4357490049307096</v>
      </c>
      <c r="K22" s="8">
        <v>3.0746770747356207</v>
      </c>
      <c r="L22" s="8">
        <v>3.6922986640715694</v>
      </c>
      <c r="M22" s="8">
        <v>4.2174405430575206</v>
      </c>
      <c r="N22" s="8">
        <v>4.6482314079908402</v>
      </c>
      <c r="O22" s="8">
        <v>4.9963793901862186</v>
      </c>
      <c r="P22" s="8">
        <v>5.2761854985226133</v>
      </c>
      <c r="Q22" s="8">
        <v>5.5023948634839446</v>
      </c>
      <c r="R22" s="8">
        <v>5.6894233595101253</v>
      </c>
      <c r="S22" s="8">
        <v>5.8509701474080664</v>
      </c>
      <c r="T22" s="13">
        <v>6</v>
      </c>
      <c r="U22" s="2">
        <v>7</v>
      </c>
      <c r="W22" s="1" t="s">
        <v>13</v>
      </c>
      <c r="X22" s="8">
        <f>F31</f>
        <v>10</v>
      </c>
      <c r="Y22" s="8">
        <f t="shared" ref="Y22:AL22" si="28">G31</f>
        <v>9.8582767319405562</v>
      </c>
      <c r="Z22" s="8">
        <f t="shared" si="28"/>
        <v>9.6756591466239072</v>
      </c>
      <c r="AA22" s="8">
        <f t="shared" si="28"/>
        <v>9.4096348577020184</v>
      </c>
      <c r="AB22" s="8">
        <f t="shared" si="28"/>
        <v>9.0239139480506392</v>
      </c>
      <c r="AC22" s="8">
        <f t="shared" si="28"/>
        <v>8.515565028200065</v>
      </c>
      <c r="AD22" s="8">
        <f t="shared" si="28"/>
        <v>7.9485462295957454</v>
      </c>
      <c r="AE22" s="8">
        <f t="shared" si="28"/>
        <v>7.3892542421981844</v>
      </c>
      <c r="AF22" s="8">
        <f t="shared" si="28"/>
        <v>6.8790489771887309</v>
      </c>
      <c r="AG22" s="8">
        <f t="shared" si="28"/>
        <v>6.4349676836739267</v>
      </c>
      <c r="AH22" s="8">
        <f t="shared" si="28"/>
        <v>6.0578555531398592</v>
      </c>
      <c r="AI22" s="8">
        <f t="shared" si="28"/>
        <v>5.7394572119467924</v>
      </c>
      <c r="AJ22" s="8">
        <f t="shared" si="28"/>
        <v>5.4669808788878793</v>
      </c>
      <c r="AK22" s="8">
        <f t="shared" si="28"/>
        <v>5.2256558891081806</v>
      </c>
      <c r="AL22" s="8">
        <f t="shared" si="28"/>
        <v>5</v>
      </c>
    </row>
    <row r="23" spans="4:38" x14ac:dyDescent="0.25">
      <c r="E23" s="9">
        <f t="shared" si="24"/>
        <v>1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8">
        <v>1.3274232615662429</v>
      </c>
      <c r="L23" s="8">
        <v>2.2350159715293509</v>
      </c>
      <c r="M23" s="8">
        <v>2.9186507351611182</v>
      </c>
      <c r="N23" s="8">
        <v>3.4503974963130588</v>
      </c>
      <c r="O23" s="8">
        <v>3.8666858210260093</v>
      </c>
      <c r="P23" s="8">
        <v>4.1928027593179982</v>
      </c>
      <c r="Q23" s="8">
        <v>4.4505115398341548</v>
      </c>
      <c r="R23" s="8">
        <v>4.6594535643072961</v>
      </c>
      <c r="S23" s="8">
        <v>4.8372781114370671</v>
      </c>
      <c r="T23" s="13">
        <v>5</v>
      </c>
      <c r="U23" s="2">
        <v>6</v>
      </c>
      <c r="W23" s="1" t="s">
        <v>14</v>
      </c>
      <c r="X23" s="8">
        <f>F44</f>
        <v>0</v>
      </c>
      <c r="Y23" s="8">
        <f t="shared" ref="Y23:AL23" si="29">G44</f>
        <v>0</v>
      </c>
      <c r="Z23" s="8">
        <f t="shared" si="29"/>
        <v>0</v>
      </c>
      <c r="AA23" s="8">
        <f t="shared" si="29"/>
        <v>0</v>
      </c>
      <c r="AB23" s="8">
        <f t="shared" si="29"/>
        <v>0</v>
      </c>
      <c r="AC23" s="8">
        <f t="shared" si="29"/>
        <v>0</v>
      </c>
      <c r="AD23" s="8">
        <f t="shared" si="29"/>
        <v>0</v>
      </c>
      <c r="AE23" s="8">
        <f t="shared" si="29"/>
        <v>0</v>
      </c>
      <c r="AF23" s="8">
        <f t="shared" si="29"/>
        <v>0</v>
      </c>
      <c r="AG23" s="8">
        <f t="shared" si="29"/>
        <v>0</v>
      </c>
      <c r="AH23" s="8">
        <f t="shared" si="29"/>
        <v>0</v>
      </c>
      <c r="AI23" s="8">
        <f t="shared" si="29"/>
        <v>0</v>
      </c>
      <c r="AJ23" s="8">
        <f t="shared" si="29"/>
        <v>0</v>
      </c>
      <c r="AK23" s="8">
        <f t="shared" si="29"/>
        <v>0</v>
      </c>
      <c r="AL23" s="8">
        <f t="shared" si="29"/>
        <v>0</v>
      </c>
    </row>
    <row r="24" spans="4:38" x14ac:dyDescent="0.25">
      <c r="E24" s="9">
        <f t="shared" si="24"/>
        <v>0.8</v>
      </c>
      <c r="F24" s="12"/>
      <c r="G24" s="12"/>
      <c r="H24" s="12"/>
      <c r="I24" s="12"/>
      <c r="J24" s="12"/>
      <c r="K24" s="13">
        <v>0</v>
      </c>
      <c r="L24" s="8">
        <v>1.0016912253184735</v>
      </c>
      <c r="M24" s="8">
        <v>1.7717489297445432</v>
      </c>
      <c r="N24" s="8">
        <v>2.3680220210742684</v>
      </c>
      <c r="O24" s="8">
        <v>2.8271636382867635</v>
      </c>
      <c r="P24" s="8">
        <v>3.1778281778892148</v>
      </c>
      <c r="Q24" s="8">
        <v>3.4473949722273822</v>
      </c>
      <c r="R24" s="8">
        <v>3.6606012464478379</v>
      </c>
      <c r="S24" s="8">
        <v>3.8386887340329059</v>
      </c>
      <c r="T24" s="13">
        <v>4</v>
      </c>
      <c r="U24" s="2">
        <v>5</v>
      </c>
      <c r="W24" s="1" t="s">
        <v>15</v>
      </c>
      <c r="X24" s="8">
        <f>F57</f>
        <v>10</v>
      </c>
      <c r="Y24" s="8">
        <f t="shared" ref="Y24:AL24" si="30">G57</f>
        <v>9.8582767319405562</v>
      </c>
      <c r="Z24" s="8">
        <f t="shared" si="30"/>
        <v>9.6756591466239072</v>
      </c>
      <c r="AA24" s="8">
        <f t="shared" si="30"/>
        <v>9.4096348577020184</v>
      </c>
      <c r="AB24" s="8">
        <f t="shared" si="30"/>
        <v>9.0239139480506392</v>
      </c>
      <c r="AC24" s="8">
        <f t="shared" si="30"/>
        <v>8.515565028200065</v>
      </c>
      <c r="AD24" s="8">
        <f t="shared" si="30"/>
        <v>7.9485462295957454</v>
      </c>
      <c r="AE24" s="8">
        <f t="shared" si="30"/>
        <v>7.3892542421981844</v>
      </c>
      <c r="AF24" s="8">
        <f t="shared" si="30"/>
        <v>6.8790489771887309</v>
      </c>
      <c r="AG24" s="8">
        <f t="shared" si="30"/>
        <v>6.4349676836739267</v>
      </c>
      <c r="AH24" s="8">
        <f t="shared" si="30"/>
        <v>6.0578555531398592</v>
      </c>
      <c r="AI24" s="8">
        <f t="shared" si="30"/>
        <v>5.7394572119467924</v>
      </c>
      <c r="AJ24" s="8">
        <f t="shared" si="30"/>
        <v>5.4669808788878793</v>
      </c>
      <c r="AK24" s="8">
        <f t="shared" si="30"/>
        <v>5.2256558891081806</v>
      </c>
      <c r="AL24" s="8">
        <f t="shared" si="30"/>
        <v>5</v>
      </c>
    </row>
    <row r="25" spans="4:38" x14ac:dyDescent="0.25">
      <c r="E25" s="9">
        <f t="shared" si="24"/>
        <v>0.60000000000000009</v>
      </c>
      <c r="F25" s="12"/>
      <c r="G25" s="12"/>
      <c r="H25" s="12"/>
      <c r="I25" s="12"/>
      <c r="J25" s="12"/>
      <c r="K25" s="12"/>
      <c r="L25" s="13">
        <v>0</v>
      </c>
      <c r="M25" s="8">
        <v>0.79863173742431304</v>
      </c>
      <c r="N25" s="8">
        <v>1.4227780199527089</v>
      </c>
      <c r="O25" s="8">
        <v>1.8961185331575621</v>
      </c>
      <c r="P25" s="8">
        <v>2.2439513417247148</v>
      </c>
      <c r="Q25" s="8">
        <v>2.5006389247383209</v>
      </c>
      <c r="R25" s="8">
        <v>2.6968677152237666</v>
      </c>
      <c r="S25" s="8">
        <v>2.8568755782467181</v>
      </c>
      <c r="T25" s="13">
        <v>3</v>
      </c>
      <c r="U25" s="2">
        <v>4</v>
      </c>
      <c r="W25" s="1" t="s">
        <v>16</v>
      </c>
      <c r="X25" s="8">
        <f>X12</f>
        <v>101325</v>
      </c>
      <c r="Y25" s="8">
        <f>$X$12-(+Y24)^2/2+(10)^2/2</f>
        <v>101326.40718993824</v>
      </c>
      <c r="Z25" s="8">
        <f t="shared" ref="Z25:AL25" si="31">$X$12-(+Z24)^2/2+(10)^2/2</f>
        <v>101328.19081003917</v>
      </c>
      <c r="AA25" s="8">
        <f t="shared" si="31"/>
        <v>101330.72938592236</v>
      </c>
      <c r="AB25" s="8">
        <f t="shared" si="31"/>
        <v>101334.28448852908</v>
      </c>
      <c r="AC25" s="8">
        <f t="shared" si="31"/>
        <v>101338.74257612525</v>
      </c>
      <c r="AD25" s="8">
        <f t="shared" si="31"/>
        <v>101343.41030641799</v>
      </c>
      <c r="AE25" s="8">
        <f t="shared" si="31"/>
        <v>101347.69946087209</v>
      </c>
      <c r="AF25" s="8">
        <f t="shared" si="31"/>
        <v>101351.33934258472</v>
      </c>
      <c r="AG25" s="8">
        <f t="shared" si="31"/>
        <v>101354.29559545504</v>
      </c>
      <c r="AH25" s="8">
        <f t="shared" si="31"/>
        <v>101356.65119304864</v>
      </c>
      <c r="AI25" s="8">
        <f t="shared" si="31"/>
        <v>101358.52931545612</v>
      </c>
      <c r="AJ25" s="8">
        <f t="shared" si="31"/>
        <v>101360.05606003494</v>
      </c>
      <c r="AK25" s="8">
        <f t="shared" si="31"/>
        <v>101361.34626026431</v>
      </c>
      <c r="AL25" s="8">
        <f t="shared" si="31"/>
        <v>101362.5</v>
      </c>
    </row>
    <row r="26" spans="4:38" x14ac:dyDescent="0.25">
      <c r="E26" s="9">
        <f t="shared" si="24"/>
        <v>0.4</v>
      </c>
      <c r="F26" s="12"/>
      <c r="G26" s="12"/>
      <c r="H26" s="12"/>
      <c r="I26" s="12"/>
      <c r="J26" s="12"/>
      <c r="K26" s="12"/>
      <c r="L26" s="12"/>
      <c r="M26" s="13">
        <v>0</v>
      </c>
      <c r="N26" s="14">
        <v>0.6283397881546926</v>
      </c>
      <c r="O26" s="8">
        <v>1.0905811326660613</v>
      </c>
      <c r="P26" s="8">
        <v>1.401219731113762</v>
      </c>
      <c r="Q26" s="8">
        <v>1.6143416697774211</v>
      </c>
      <c r="R26" s="8">
        <v>1.7693551114621906</v>
      </c>
      <c r="S26" s="8">
        <v>1.8919458637302005</v>
      </c>
      <c r="T26" s="13">
        <v>2</v>
      </c>
      <c r="U26" s="2">
        <v>3</v>
      </c>
      <c r="W26" s="1" t="s">
        <v>17</v>
      </c>
      <c r="X26" s="8">
        <f>(X25-$B$5)/(($B$4^2/2))</f>
        <v>0</v>
      </c>
      <c r="Y26" s="8">
        <f t="shared" ref="Y26:AL26" si="32">(Y25-$B$5)/(($B$4^2/2))</f>
        <v>2.8143798764795065E-2</v>
      </c>
      <c r="Z26" s="8">
        <f t="shared" si="32"/>
        <v>6.3816200783476232E-2</v>
      </c>
      <c r="AA26" s="8">
        <f t="shared" si="32"/>
        <v>0.11458771844714648</v>
      </c>
      <c r="AB26" s="8">
        <f t="shared" si="32"/>
        <v>0.18568977058166639</v>
      </c>
      <c r="AC26" s="8">
        <f t="shared" si="32"/>
        <v>0.27485152250505052</v>
      </c>
      <c r="AD26" s="8">
        <f t="shared" si="32"/>
        <v>0.3682061283598887</v>
      </c>
      <c r="AE26" s="8">
        <f t="shared" si="32"/>
        <v>0.45398921744170367</v>
      </c>
      <c r="AF26" s="8">
        <f t="shared" si="32"/>
        <v>0.5267868516943417</v>
      </c>
      <c r="AG26" s="8">
        <f t="shared" si="32"/>
        <v>0.58591190910083246</v>
      </c>
      <c r="AH26" s="8">
        <f t="shared" si="32"/>
        <v>0.63302386097289853</v>
      </c>
      <c r="AI26" s="8">
        <f t="shared" si="32"/>
        <v>0.67058630912244555</v>
      </c>
      <c r="AJ26" s="8">
        <f t="shared" si="32"/>
        <v>0.70112120069883532</v>
      </c>
      <c r="AK26" s="8">
        <f t="shared" si="32"/>
        <v>0.72692520528624305</v>
      </c>
      <c r="AL26" s="8">
        <f t="shared" si="32"/>
        <v>0.75</v>
      </c>
    </row>
    <row r="27" spans="4:38" x14ac:dyDescent="0.25">
      <c r="E27" s="9">
        <f>E28+$B$2</f>
        <v>0.2</v>
      </c>
      <c r="F27" s="12"/>
      <c r="G27" s="12"/>
      <c r="H27" s="12"/>
      <c r="I27" s="12"/>
      <c r="J27" s="12"/>
      <c r="K27" s="12"/>
      <c r="L27" s="12"/>
      <c r="M27" s="12"/>
      <c r="N27" s="15">
        <v>0</v>
      </c>
      <c r="O27" s="8">
        <v>0.43664647823822789</v>
      </c>
      <c r="P27" s="8">
        <v>0.65600478028685028</v>
      </c>
      <c r="Q27" s="8">
        <v>0.78615291179541125</v>
      </c>
      <c r="R27" s="8">
        <v>0.87426519711737383</v>
      </c>
      <c r="S27" s="8">
        <v>0.94155276521189357</v>
      </c>
      <c r="T27" s="13">
        <v>1</v>
      </c>
      <c r="U27" s="2">
        <v>2</v>
      </c>
    </row>
    <row r="28" spans="4:38" x14ac:dyDescent="0.25">
      <c r="E28" s="9">
        <f>0</f>
        <v>0</v>
      </c>
      <c r="F28" s="12"/>
      <c r="G28" s="12"/>
      <c r="H28" s="12"/>
      <c r="I28" s="12"/>
      <c r="J28" s="12"/>
      <c r="K28" s="12"/>
      <c r="L28" s="12"/>
      <c r="M28" s="12"/>
      <c r="N28" s="12"/>
      <c r="O28" s="13">
        <v>0</v>
      </c>
      <c r="P28" s="13">
        <v>0</v>
      </c>
      <c r="Q28" s="13">
        <v>0</v>
      </c>
      <c r="R28" s="13">
        <v>0</v>
      </c>
      <c r="S28" s="13">
        <v>0</v>
      </c>
      <c r="T28" s="13">
        <v>0</v>
      </c>
      <c r="U28" s="2">
        <v>1</v>
      </c>
    </row>
    <row r="29" spans="4:38" x14ac:dyDescent="0.25">
      <c r="F29" s="9">
        <v>0</v>
      </c>
      <c r="G29" s="9">
        <f>F29+$B$2</f>
        <v>0.2</v>
      </c>
      <c r="H29" s="9">
        <f t="shared" ref="H29:T29" si="33">G29+$B$2</f>
        <v>0.4</v>
      </c>
      <c r="I29" s="9">
        <f t="shared" si="33"/>
        <v>0.60000000000000009</v>
      </c>
      <c r="J29" s="9">
        <f t="shared" si="33"/>
        <v>0.8</v>
      </c>
      <c r="K29" s="9">
        <f t="shared" si="33"/>
        <v>1</v>
      </c>
      <c r="L29" s="9">
        <f t="shared" si="33"/>
        <v>1.2</v>
      </c>
      <c r="M29" s="9">
        <f t="shared" si="33"/>
        <v>1.4</v>
      </c>
      <c r="N29" s="9">
        <f t="shared" si="33"/>
        <v>1.5999999999999999</v>
      </c>
      <c r="O29" s="9">
        <f t="shared" si="33"/>
        <v>1.7999999999999998</v>
      </c>
      <c r="P29" s="9">
        <f t="shared" si="33"/>
        <v>1.9999999999999998</v>
      </c>
      <c r="Q29" s="9">
        <f t="shared" si="33"/>
        <v>2.1999999999999997</v>
      </c>
      <c r="R29" s="9">
        <f t="shared" si="33"/>
        <v>2.4</v>
      </c>
      <c r="S29" s="9">
        <f t="shared" si="33"/>
        <v>2.6</v>
      </c>
      <c r="T29" s="9">
        <f t="shared" si="33"/>
        <v>2.8000000000000003</v>
      </c>
    </row>
    <row r="31" spans="4:38" x14ac:dyDescent="0.25">
      <c r="D31" s="7" t="s">
        <v>13</v>
      </c>
      <c r="E31" s="9">
        <f t="shared" ref="E31:E39" si="34">E32+$B$2</f>
        <v>1.9999999999999998</v>
      </c>
      <c r="F31" s="13">
        <f>(F5-F6)/$B$2</f>
        <v>10</v>
      </c>
      <c r="G31" s="13">
        <f t="shared" ref="G31:T40" si="35">(G5-G6)/$B$2</f>
        <v>9.8582767319405562</v>
      </c>
      <c r="H31" s="13">
        <f t="shared" si="35"/>
        <v>9.6756591466239072</v>
      </c>
      <c r="I31" s="13">
        <f t="shared" si="35"/>
        <v>9.4096348577020184</v>
      </c>
      <c r="J31" s="13">
        <f t="shared" si="35"/>
        <v>9.0239139480506392</v>
      </c>
      <c r="K31" s="13">
        <f t="shared" si="35"/>
        <v>8.515565028200065</v>
      </c>
      <c r="L31" s="13">
        <f t="shared" si="35"/>
        <v>7.9485462295957454</v>
      </c>
      <c r="M31" s="13">
        <f t="shared" si="35"/>
        <v>7.3892542421981844</v>
      </c>
      <c r="N31" s="13">
        <f t="shared" si="35"/>
        <v>6.8790489771887309</v>
      </c>
      <c r="O31" s="13">
        <f t="shared" si="35"/>
        <v>6.4349676836739267</v>
      </c>
      <c r="P31" s="13">
        <f t="shared" si="35"/>
        <v>6.0578555531398592</v>
      </c>
      <c r="Q31" s="13">
        <f t="shared" si="35"/>
        <v>5.7394572119467924</v>
      </c>
      <c r="R31" s="13">
        <f t="shared" si="35"/>
        <v>5.4669808788878793</v>
      </c>
      <c r="S31" s="13">
        <f t="shared" si="35"/>
        <v>5.2256558891081806</v>
      </c>
      <c r="T31" s="13">
        <f t="shared" si="35"/>
        <v>5</v>
      </c>
      <c r="U31" s="2">
        <v>11</v>
      </c>
    </row>
    <row r="32" spans="4:38" x14ac:dyDescent="0.25">
      <c r="E32" s="9">
        <f t="shared" si="34"/>
        <v>1.7999999999999998</v>
      </c>
      <c r="F32" s="8">
        <f>(F5-F7)/(2*$B$2)</f>
        <v>10</v>
      </c>
      <c r="G32" s="8">
        <f>(G5-G7)/(2*$B$2)</f>
        <v>9.8787238905691588</v>
      </c>
      <c r="H32" s="8">
        <f t="shared" ref="H32:S32" si="36">(H5-H7)/(2*$B$2)</f>
        <v>9.7173624984265405</v>
      </c>
      <c r="I32" s="8">
        <f t="shared" si="36"/>
        <v>9.4694831680667608</v>
      </c>
      <c r="J32" s="8">
        <f t="shared" si="36"/>
        <v>9.0852279531502411</v>
      </c>
      <c r="K32" s="8">
        <f t="shared" si="36"/>
        <v>8.5448999675769333</v>
      </c>
      <c r="L32" s="8">
        <f t="shared" si="36"/>
        <v>7.9446828239923661</v>
      </c>
      <c r="M32" s="8">
        <f t="shared" si="36"/>
        <v>7.3647108810041217</v>
      </c>
      <c r="N32" s="8">
        <f t="shared" si="36"/>
        <v>6.8459869914414107</v>
      </c>
      <c r="O32" s="8">
        <f t="shared" si="36"/>
        <v>6.4014831021835539</v>
      </c>
      <c r="P32" s="8">
        <f t="shared" si="36"/>
        <v>6.0284986584693652</v>
      </c>
      <c r="Q32" s="8">
        <f t="shared" si="36"/>
        <v>5.7164962078797021</v>
      </c>
      <c r="R32" s="8">
        <f t="shared" si="36"/>
        <v>5.4514052072482677</v>
      </c>
      <c r="S32" s="8">
        <f t="shared" si="36"/>
        <v>5.2178213387724188</v>
      </c>
      <c r="T32" s="8">
        <f t="shared" si="35"/>
        <v>5</v>
      </c>
      <c r="U32" s="2">
        <v>10</v>
      </c>
    </row>
    <row r="33" spans="4:21" x14ac:dyDescent="0.25">
      <c r="E33" s="9">
        <f t="shared" si="34"/>
        <v>1.5999999999999999</v>
      </c>
      <c r="F33" s="8">
        <f t="shared" ref="F33:S40" si="37">(F6-F8)/(2*$B$2)</f>
        <v>10</v>
      </c>
      <c r="G33" s="8">
        <f t="shared" si="37"/>
        <v>9.9392563319095419</v>
      </c>
      <c r="H33" s="8">
        <f t="shared" si="37"/>
        <v>9.8455837884463318</v>
      </c>
      <c r="I33" s="8">
        <f t="shared" si="37"/>
        <v>9.6657073629882415</v>
      </c>
      <c r="J33" s="8">
        <f t="shared" si="37"/>
        <v>9.302614728906633</v>
      </c>
      <c r="K33" s="8">
        <f t="shared" si="37"/>
        <v>8.6341240649650608</v>
      </c>
      <c r="L33" s="8">
        <f t="shared" si="37"/>
        <v>7.9205742177926659</v>
      </c>
      <c r="M33" s="8">
        <f t="shared" si="37"/>
        <v>7.2789194663845214</v>
      </c>
      <c r="N33" s="8">
        <f t="shared" si="37"/>
        <v>6.7387050053892317</v>
      </c>
      <c r="O33" s="8">
        <f t="shared" si="37"/>
        <v>6.2964790751495059</v>
      </c>
      <c r="P33" s="8">
        <f t="shared" si="37"/>
        <v>5.9381597706743428</v>
      </c>
      <c r="Q33" s="8">
        <f t="shared" si="37"/>
        <v>5.6466237538543851</v>
      </c>
      <c r="R33" s="8">
        <f t="shared" si="37"/>
        <v>5.4043224034530724</v>
      </c>
      <c r="S33" s="8">
        <f t="shared" si="37"/>
        <v>5.1942242587332261</v>
      </c>
      <c r="T33" s="8">
        <f t="shared" si="35"/>
        <v>5</v>
      </c>
      <c r="U33" s="2">
        <v>9</v>
      </c>
    </row>
    <row r="34" spans="4:21" x14ac:dyDescent="0.25">
      <c r="E34" s="9">
        <f t="shared" si="34"/>
        <v>1.4</v>
      </c>
      <c r="F34" s="8">
        <f t="shared" si="37"/>
        <v>10</v>
      </c>
      <c r="G34" s="8">
        <f t="shared" si="37"/>
        <v>10.032717648622679</v>
      </c>
      <c r="H34" s="8">
        <f t="shared" si="37"/>
        <v>10.060008960460991</v>
      </c>
      <c r="I34" s="8">
        <f t="shared" si="37"/>
        <v>10.045147766533242</v>
      </c>
      <c r="J34" s="8">
        <f t="shared" si="37"/>
        <v>9.825399534522985</v>
      </c>
      <c r="K34" s="8">
        <f t="shared" si="37"/>
        <v>8.7684073455840146</v>
      </c>
      <c r="L34" s="8">
        <f t="shared" si="37"/>
        <v>7.82457051582871</v>
      </c>
      <c r="M34" s="8">
        <f t="shared" si="37"/>
        <v>7.0916877613520768</v>
      </c>
      <c r="N34" s="8">
        <f t="shared" si="37"/>
        <v>6.5334344885814888</v>
      </c>
      <c r="O34" s="8">
        <f t="shared" si="37"/>
        <v>6.1075684223508997</v>
      </c>
      <c r="P34" s="8">
        <f t="shared" si="37"/>
        <v>5.7810375952241007</v>
      </c>
      <c r="Q34" s="8">
        <f t="shared" si="37"/>
        <v>5.5275166334104364</v>
      </c>
      <c r="R34" s="8">
        <f t="shared" si="37"/>
        <v>5.3250363939764185</v>
      </c>
      <c r="S34" s="8">
        <f t="shared" si="37"/>
        <v>5.1547532927074142</v>
      </c>
      <c r="T34" s="8">
        <f t="shared" si="35"/>
        <v>5</v>
      </c>
      <c r="U34" s="2">
        <v>8</v>
      </c>
    </row>
    <row r="35" spans="4:21" x14ac:dyDescent="0.25">
      <c r="E35" s="9">
        <f t="shared" si="34"/>
        <v>1.2</v>
      </c>
      <c r="F35" s="8">
        <f t="shared" si="37"/>
        <v>10</v>
      </c>
      <c r="G35" s="8">
        <f t="shared" si="37"/>
        <v>10.131605302120178</v>
      </c>
      <c r="H35" s="8">
        <f t="shared" si="37"/>
        <v>10.316586638241713</v>
      </c>
      <c r="I35" s="8">
        <f t="shared" si="37"/>
        <v>10.629475208160747</v>
      </c>
      <c r="J35" s="8">
        <f t="shared" si="37"/>
        <v>11.185428297068047</v>
      </c>
      <c r="K35" s="8">
        <f t="shared" si="37"/>
        <v>8.7895352670192981</v>
      </c>
      <c r="L35" s="8">
        <f t="shared" si="37"/>
        <v>7.5176127385860836</v>
      </c>
      <c r="M35" s="8">
        <f t="shared" si="37"/>
        <v>6.7298265746135906</v>
      </c>
      <c r="N35" s="8">
        <f t="shared" si="37"/>
        <v>6.1957767652337559</v>
      </c>
      <c r="O35" s="8">
        <f t="shared" si="37"/>
        <v>5.819322530448507</v>
      </c>
      <c r="P35" s="8">
        <f t="shared" si="37"/>
        <v>5.5509055544607318</v>
      </c>
      <c r="Q35" s="8">
        <f t="shared" si="37"/>
        <v>5.3573687905868317</v>
      </c>
      <c r="R35" s="8">
        <f t="shared" si="37"/>
        <v>5.2135532463347474</v>
      </c>
      <c r="S35" s="8">
        <f t="shared" si="37"/>
        <v>5.099752518120015</v>
      </c>
      <c r="T35" s="8">
        <f t="shared" si="35"/>
        <v>5</v>
      </c>
      <c r="U35" s="2">
        <v>7</v>
      </c>
    </row>
    <row r="36" spans="4:21" x14ac:dyDescent="0.25">
      <c r="E36" s="9">
        <f t="shared" si="34"/>
        <v>1</v>
      </c>
      <c r="F36" s="13">
        <f t="shared" ref="F36:T41" si="38">(F9-F10)/$B$2</f>
        <v>10</v>
      </c>
      <c r="G36" s="13">
        <f t="shared" si="38"/>
        <v>10.177116921616323</v>
      </c>
      <c r="H36" s="13">
        <f>(H9-H10)/$B$2</f>
        <v>10.445257082224936</v>
      </c>
      <c r="I36" s="13">
        <f t="shared" si="38"/>
        <v>10.970738130799994</v>
      </c>
      <c r="J36" s="13">
        <f t="shared" si="38"/>
        <v>12.178745024653548</v>
      </c>
      <c r="K36" s="8">
        <f t="shared" si="37"/>
        <v>7.6866926868390513</v>
      </c>
      <c r="L36" s="8">
        <f t="shared" si="37"/>
        <v>6.7265185968827401</v>
      </c>
      <c r="M36" s="8">
        <f t="shared" si="37"/>
        <v>6.1142290332824434</v>
      </c>
      <c r="N36" s="8">
        <f t="shared" si="37"/>
        <v>5.7005234672914291</v>
      </c>
      <c r="O36" s="8">
        <f t="shared" si="37"/>
        <v>5.4230393797486371</v>
      </c>
      <c r="P36" s="8">
        <f t="shared" si="37"/>
        <v>5.2458933015834956</v>
      </c>
      <c r="Q36" s="8">
        <f t="shared" si="37"/>
        <v>5.1374997281414059</v>
      </c>
      <c r="R36" s="8">
        <f t="shared" si="37"/>
        <v>5.0720552826557181</v>
      </c>
      <c r="S36" s="8">
        <f t="shared" si="37"/>
        <v>5.0307035334379009</v>
      </c>
      <c r="T36" s="8">
        <f t="shared" si="35"/>
        <v>5</v>
      </c>
      <c r="U36" s="2">
        <v>6</v>
      </c>
    </row>
    <row r="37" spans="4:21" x14ac:dyDescent="0.25">
      <c r="E37" s="9">
        <f t="shared" si="34"/>
        <v>0.8</v>
      </c>
      <c r="F37" s="12"/>
      <c r="G37" s="12"/>
      <c r="H37" s="12"/>
      <c r="I37" s="12"/>
      <c r="J37" s="12"/>
      <c r="K37" s="13">
        <f t="shared" si="38"/>
        <v>6.6371163078312145</v>
      </c>
      <c r="L37" s="8">
        <f t="shared" si="37"/>
        <v>5.5875399288233769</v>
      </c>
      <c r="M37" s="8">
        <f t="shared" si="37"/>
        <v>5.3000474943420128</v>
      </c>
      <c r="N37" s="8">
        <f t="shared" si="37"/>
        <v>5.0690486909008747</v>
      </c>
      <c r="O37" s="8">
        <f t="shared" si="37"/>
        <v>4.9264182196711177</v>
      </c>
      <c r="P37" s="8">
        <f t="shared" si="37"/>
        <v>4.8721285439832078</v>
      </c>
      <c r="Q37" s="8">
        <f t="shared" si="37"/>
        <v>4.8746815377395842</v>
      </c>
      <c r="R37" s="8">
        <f t="shared" si="37"/>
        <v>4.9064646227088238</v>
      </c>
      <c r="S37" s="8">
        <f t="shared" si="37"/>
        <v>4.9510063329758722</v>
      </c>
      <c r="T37" s="8">
        <f t="shared" si="35"/>
        <v>5</v>
      </c>
      <c r="U37" s="2">
        <v>5</v>
      </c>
    </row>
    <row r="38" spans="4:21" x14ac:dyDescent="0.25">
      <c r="E38" s="9">
        <f t="shared" si="34"/>
        <v>0.60000000000000009</v>
      </c>
      <c r="F38" s="12"/>
      <c r="G38" s="12"/>
      <c r="H38" s="12"/>
      <c r="I38" s="12"/>
      <c r="J38" s="12"/>
      <c r="K38" s="12"/>
      <c r="L38" s="13">
        <f t="shared" si="38"/>
        <v>5.0084561265923675</v>
      </c>
      <c r="M38" s="8">
        <f t="shared" si="37"/>
        <v>4.4293723243613581</v>
      </c>
      <c r="N38" s="8">
        <f t="shared" si="37"/>
        <v>4.3492055822989393</v>
      </c>
      <c r="O38" s="8">
        <f t="shared" si="37"/>
        <v>4.3414562640517556</v>
      </c>
      <c r="P38" s="8">
        <f t="shared" si="37"/>
        <v>4.4415211169386319</v>
      </c>
      <c r="Q38" s="8">
        <f t="shared" si="37"/>
        <v>4.5826332561249021</v>
      </c>
      <c r="R38" s="8">
        <f t="shared" si="37"/>
        <v>4.7281153374641178</v>
      </c>
      <c r="S38" s="8">
        <f t="shared" si="37"/>
        <v>4.8668571757567634</v>
      </c>
      <c r="T38" s="8">
        <f t="shared" si="35"/>
        <v>5</v>
      </c>
      <c r="U38" s="2">
        <v>4</v>
      </c>
    </row>
    <row r="39" spans="4:21" x14ac:dyDescent="0.25">
      <c r="E39" s="9">
        <f t="shared" si="34"/>
        <v>0.4</v>
      </c>
      <c r="F39" s="12"/>
      <c r="G39" s="12"/>
      <c r="H39" s="12"/>
      <c r="I39" s="12"/>
      <c r="J39" s="12"/>
      <c r="K39" s="12"/>
      <c r="L39" s="12"/>
      <c r="M39" s="15">
        <f t="shared" si="38"/>
        <v>3.9931586871215652</v>
      </c>
      <c r="N39" s="8">
        <f t="shared" si="37"/>
        <v>3.5569450498817723</v>
      </c>
      <c r="O39" s="8">
        <f t="shared" si="37"/>
        <v>3.6486801372983355</v>
      </c>
      <c r="P39" s="8">
        <f t="shared" si="37"/>
        <v>3.9698664035946609</v>
      </c>
      <c r="Q39" s="8">
        <f t="shared" si="37"/>
        <v>4.2862150323572745</v>
      </c>
      <c r="R39" s="8">
        <f t="shared" si="37"/>
        <v>4.5565062952659812</v>
      </c>
      <c r="S39" s="8">
        <f t="shared" si="37"/>
        <v>4.7883070325870607</v>
      </c>
      <c r="T39" s="8">
        <f t="shared" si="35"/>
        <v>5</v>
      </c>
      <c r="U39" s="2">
        <v>3</v>
      </c>
    </row>
    <row r="40" spans="4:21" x14ac:dyDescent="0.25">
      <c r="E40" s="9">
        <f>E41+$B$2</f>
        <v>0.2</v>
      </c>
      <c r="F40" s="12"/>
      <c r="G40" s="12"/>
      <c r="H40" s="12"/>
      <c r="I40" s="12"/>
      <c r="J40" s="12"/>
      <c r="K40" s="12"/>
      <c r="L40" s="12"/>
      <c r="M40" s="12"/>
      <c r="N40" s="13">
        <f t="shared" si="38"/>
        <v>3.141698940773463</v>
      </c>
      <c r="O40" s="8">
        <f t="shared" si="37"/>
        <v>2.7264528316651528</v>
      </c>
      <c r="P40" s="8">
        <f t="shared" si="37"/>
        <v>3.5030493277844048</v>
      </c>
      <c r="Q40" s="8">
        <f t="shared" si="37"/>
        <v>4.0358541744435525</v>
      </c>
      <c r="R40" s="8">
        <f t="shared" si="37"/>
        <v>4.4233877786554761</v>
      </c>
      <c r="S40" s="8">
        <f t="shared" si="37"/>
        <v>4.7298646593255009</v>
      </c>
      <c r="T40" s="8">
        <f t="shared" si="35"/>
        <v>5</v>
      </c>
      <c r="U40" s="2">
        <v>2</v>
      </c>
    </row>
    <row r="41" spans="4:21" x14ac:dyDescent="0.25">
      <c r="E41" s="9">
        <f>0</f>
        <v>0</v>
      </c>
      <c r="F41" s="12"/>
      <c r="G41" s="12"/>
      <c r="H41" s="12"/>
      <c r="I41" s="12"/>
      <c r="J41" s="12"/>
      <c r="K41" s="12"/>
      <c r="L41" s="12"/>
      <c r="M41" s="12"/>
      <c r="N41" s="12"/>
      <c r="O41" s="13">
        <f t="shared" si="38"/>
        <v>2.1832323911911393</v>
      </c>
      <c r="P41" s="13">
        <f t="shared" si="38"/>
        <v>3.2800239014342512</v>
      </c>
      <c r="Q41" s="13">
        <f t="shared" si="38"/>
        <v>3.9307645589770561</v>
      </c>
      <c r="R41" s="13">
        <f t="shared" si="38"/>
        <v>4.3713259855868687</v>
      </c>
      <c r="S41" s="13">
        <f t="shared" si="38"/>
        <v>4.7077638260594679</v>
      </c>
      <c r="T41" s="13">
        <f t="shared" si="38"/>
        <v>5</v>
      </c>
      <c r="U41" s="2">
        <v>1</v>
      </c>
    </row>
    <row r="42" spans="4:21" x14ac:dyDescent="0.25">
      <c r="F42" s="9">
        <v>0</v>
      </c>
      <c r="G42" s="9">
        <f>F42+$B$2</f>
        <v>0.2</v>
      </c>
      <c r="H42" s="9">
        <f t="shared" ref="H42:T42" si="39">G42+$B$2</f>
        <v>0.4</v>
      </c>
      <c r="I42" s="9">
        <f t="shared" si="39"/>
        <v>0.60000000000000009</v>
      </c>
      <c r="J42" s="9">
        <f t="shared" si="39"/>
        <v>0.8</v>
      </c>
      <c r="K42" s="9">
        <f t="shared" si="39"/>
        <v>1</v>
      </c>
      <c r="L42" s="9">
        <f t="shared" si="39"/>
        <v>1.2</v>
      </c>
      <c r="M42" s="9">
        <f t="shared" si="39"/>
        <v>1.4</v>
      </c>
      <c r="N42" s="9">
        <f t="shared" si="39"/>
        <v>1.5999999999999999</v>
      </c>
      <c r="O42" s="9">
        <f t="shared" si="39"/>
        <v>1.7999999999999998</v>
      </c>
      <c r="P42" s="9">
        <f t="shared" si="39"/>
        <v>1.9999999999999998</v>
      </c>
      <c r="Q42" s="9">
        <f t="shared" si="39"/>
        <v>2.1999999999999997</v>
      </c>
      <c r="R42" s="9">
        <f t="shared" si="39"/>
        <v>2.4</v>
      </c>
      <c r="S42" s="9">
        <f t="shared" si="39"/>
        <v>2.6</v>
      </c>
      <c r="T42" s="9">
        <f t="shared" si="39"/>
        <v>2.8000000000000003</v>
      </c>
    </row>
    <row r="44" spans="4:21" x14ac:dyDescent="0.25">
      <c r="D44" s="7" t="s">
        <v>14</v>
      </c>
      <c r="E44" s="9">
        <f t="shared" ref="E44:E52" si="40">E45+$B$2</f>
        <v>1.9999999999999998</v>
      </c>
      <c r="F44" s="13">
        <f>-(G18-F18)/($B$2)</f>
        <v>0</v>
      </c>
      <c r="G44" s="13">
        <f>-(H18-F18)/(2*$B$2)</f>
        <v>0</v>
      </c>
      <c r="H44" s="13">
        <f t="shared" ref="H44:R45" si="41">-(I18-G18)/(2*$B$2)</f>
        <v>0</v>
      </c>
      <c r="I44" s="13">
        <f t="shared" si="41"/>
        <v>0</v>
      </c>
      <c r="J44" s="13">
        <f t="shared" si="41"/>
        <v>0</v>
      </c>
      <c r="K44" s="13">
        <f t="shared" si="41"/>
        <v>0</v>
      </c>
      <c r="L44" s="13">
        <f t="shared" si="41"/>
        <v>0</v>
      </c>
      <c r="M44" s="13">
        <f t="shared" si="41"/>
        <v>0</v>
      </c>
      <c r="N44" s="13">
        <f t="shared" si="41"/>
        <v>0</v>
      </c>
      <c r="O44" s="13">
        <f t="shared" si="41"/>
        <v>0</v>
      </c>
      <c r="P44" s="13">
        <f t="shared" si="41"/>
        <v>0</v>
      </c>
      <c r="Q44" s="13">
        <f t="shared" si="41"/>
        <v>0</v>
      </c>
      <c r="R44" s="13">
        <f t="shared" si="41"/>
        <v>0</v>
      </c>
      <c r="S44" s="13">
        <f>-(T18-R18)/(2*$B$2)</f>
        <v>0</v>
      </c>
      <c r="T44" s="13">
        <f>-(T18-S18)/($B$2)</f>
        <v>0</v>
      </c>
      <c r="U44" s="2">
        <v>11</v>
      </c>
    </row>
    <row r="45" spans="4:21" x14ac:dyDescent="0.25">
      <c r="E45" s="9">
        <f t="shared" si="40"/>
        <v>1.7999999999999998</v>
      </c>
      <c r="F45" s="8">
        <f>-(G19-F19)/($B$2)</f>
        <v>-0.1417232680594438</v>
      </c>
      <c r="G45" s="8">
        <f>-(H19-F19)/(2*$B$2)</f>
        <v>-0.16217042668804638</v>
      </c>
      <c r="H45" s="8">
        <f t="shared" si="41"/>
        <v>-0.22432093711926893</v>
      </c>
      <c r="I45" s="8">
        <f t="shared" si="41"/>
        <v>-0.32587259928663403</v>
      </c>
      <c r="J45" s="8">
        <f t="shared" si="41"/>
        <v>-0.44703491475097668</v>
      </c>
      <c r="K45" s="8">
        <f t="shared" si="41"/>
        <v>-0.53768385922744688</v>
      </c>
      <c r="L45" s="8">
        <f t="shared" si="41"/>
        <v>-0.56315539300094031</v>
      </c>
      <c r="M45" s="8">
        <f t="shared" si="41"/>
        <v>-0.53474862620350727</v>
      </c>
      <c r="N45" s="8">
        <f t="shared" si="41"/>
        <v>-0.47714327926212885</v>
      </c>
      <c r="O45" s="8">
        <f t="shared" si="41"/>
        <v>-0.41059671202443582</v>
      </c>
      <c r="P45" s="8">
        <f t="shared" si="41"/>
        <v>-0.34775523586356716</v>
      </c>
      <c r="Q45" s="8">
        <f t="shared" si="41"/>
        <v>-0.29543733712598996</v>
      </c>
      <c r="R45" s="8">
        <f t="shared" si="41"/>
        <v>-0.2569006614193059</v>
      </c>
      <c r="S45" s="8">
        <f>-(T19-R19)/(2*$B$2)</f>
        <v>-0.23349043944393966</v>
      </c>
      <c r="T45" s="8">
        <f t="shared" ref="T45:T54" si="42">-(T19-S19)/($B$2)</f>
        <v>-0.22565588910818057</v>
      </c>
      <c r="U45" s="2">
        <v>10</v>
      </c>
    </row>
    <row r="46" spans="4:21" x14ac:dyDescent="0.25">
      <c r="E46" s="9">
        <f t="shared" si="40"/>
        <v>1.5999999999999999</v>
      </c>
      <c r="F46" s="8">
        <f t="shared" ref="F46:N53" si="43">-(G20-F20)/($B$2)</f>
        <v>-0.24255221886168243</v>
      </c>
      <c r="G46" s="8">
        <f t="shared" ref="G46:S53" si="44">-(H20-F20)/(2*$B$2)</f>
        <v>-0.28263750157345946</v>
      </c>
      <c r="H46" s="8">
        <f t="shared" si="44"/>
        <v>-0.40924072250239751</v>
      </c>
      <c r="I46" s="8">
        <f t="shared" si="44"/>
        <v>-0.63213454527629942</v>
      </c>
      <c r="J46" s="8">
        <f t="shared" si="44"/>
        <v>-0.92458320048982801</v>
      </c>
      <c r="K46" s="8">
        <f t="shared" si="44"/>
        <v>-1.140545129157875</v>
      </c>
      <c r="L46" s="8">
        <f t="shared" si="44"/>
        <v>-1.1801890865728115</v>
      </c>
      <c r="M46" s="8">
        <f t="shared" si="44"/>
        <v>-1.0986958325509555</v>
      </c>
      <c r="N46" s="8">
        <f t="shared" si="44"/>
        <v>-0.96322777882056787</v>
      </c>
      <c r="O46" s="8">
        <f t="shared" si="44"/>
        <v>-0.81748833297204504</v>
      </c>
      <c r="P46" s="8">
        <f t="shared" si="44"/>
        <v>-0.68498689430385173</v>
      </c>
      <c r="Q46" s="8">
        <f t="shared" si="44"/>
        <v>-0.5770934512210979</v>
      </c>
      <c r="R46" s="8">
        <f t="shared" si="44"/>
        <v>-0.49867486910728287</v>
      </c>
      <c r="S46" s="8">
        <f t="shared" si="44"/>
        <v>-0.45140520724826771</v>
      </c>
      <c r="T46" s="8">
        <f t="shared" si="42"/>
        <v>-0.43564267754483854</v>
      </c>
      <c r="U46" s="2">
        <v>9</v>
      </c>
    </row>
    <row r="47" spans="4:21" x14ac:dyDescent="0.25">
      <c r="E47" s="9">
        <f t="shared" si="40"/>
        <v>1.4</v>
      </c>
      <c r="F47" s="8">
        <f t="shared" si="43"/>
        <v>-0.26321060424035814</v>
      </c>
      <c r="G47" s="8">
        <f t="shared" si="44"/>
        <v>-0.31658663824171374</v>
      </c>
      <c r="H47" s="8">
        <f t="shared" si="44"/>
        <v>-0.49786990604056891</v>
      </c>
      <c r="I47" s="8">
        <f t="shared" si="44"/>
        <v>-0.86884165882633368</v>
      </c>
      <c r="J47" s="8">
        <f t="shared" si="44"/>
        <v>-1.4786182127741587</v>
      </c>
      <c r="K47" s="8">
        <f t="shared" si="44"/>
        <v>-1.9197243703414135</v>
      </c>
      <c r="L47" s="8">
        <f t="shared" si="44"/>
        <v>-1.9183599915814797</v>
      </c>
      <c r="M47" s="8">
        <f t="shared" si="44"/>
        <v>-1.7166178386069419</v>
      </c>
      <c r="N47" s="8">
        <f t="shared" si="44"/>
        <v>-1.4595836704971443</v>
      </c>
      <c r="O47" s="8">
        <f t="shared" si="44"/>
        <v>-1.2111419467393247</v>
      </c>
      <c r="P47" s="8">
        <f t="shared" si="44"/>
        <v>-0.99761055715868796</v>
      </c>
      <c r="Q47" s="8">
        <f t="shared" si="44"/>
        <v>-0.82927470434726036</v>
      </c>
      <c r="R47" s="8">
        <f t="shared" si="44"/>
        <v>-0.70930015654046441</v>
      </c>
      <c r="S47" s="8">
        <f t="shared" si="44"/>
        <v>-0.63781284289701201</v>
      </c>
      <c r="T47" s="8">
        <f t="shared" si="42"/>
        <v>-0.61410440657463372</v>
      </c>
      <c r="U47" s="2">
        <v>8</v>
      </c>
    </row>
    <row r="48" spans="4:21" x14ac:dyDescent="0.25">
      <c r="E48" s="9">
        <f t="shared" si="40"/>
        <v>1.2</v>
      </c>
      <c r="F48" s="8">
        <f t="shared" si="43"/>
        <v>-0.17711692161632264</v>
      </c>
      <c r="G48" s="8">
        <f t="shared" si="44"/>
        <v>-0.22262854111246844</v>
      </c>
      <c r="H48" s="8">
        <f t="shared" si="44"/>
        <v>-0.39681060459183626</v>
      </c>
      <c r="I48" s="8">
        <f t="shared" si="44"/>
        <v>-0.86674397121430546</v>
      </c>
      <c r="J48" s="8">
        <f t="shared" si="44"/>
        <v>-2.2013236214390539</v>
      </c>
      <c r="K48" s="8">
        <f t="shared" si="44"/>
        <v>-3.1413741478521495</v>
      </c>
      <c r="L48" s="8">
        <f t="shared" si="44"/>
        <v>-2.8569086708047498</v>
      </c>
      <c r="M48" s="8">
        <f t="shared" si="44"/>
        <v>-2.3898318597981771</v>
      </c>
      <c r="N48" s="8">
        <f t="shared" si="44"/>
        <v>-1.947347117821745</v>
      </c>
      <c r="O48" s="8">
        <f t="shared" si="44"/>
        <v>-1.5698852263294327</v>
      </c>
      <c r="P48" s="8">
        <f t="shared" si="44"/>
        <v>-1.265038683244315</v>
      </c>
      <c r="Q48" s="8">
        <f t="shared" si="44"/>
        <v>-1.0330946524687801</v>
      </c>
      <c r="R48" s="8">
        <f t="shared" si="44"/>
        <v>-0.87143820981030462</v>
      </c>
      <c r="S48" s="8">
        <f t="shared" si="44"/>
        <v>-0.77644160122468664</v>
      </c>
      <c r="T48" s="8">
        <f t="shared" si="42"/>
        <v>-0.74514926295966788</v>
      </c>
      <c r="U48" s="2">
        <v>7</v>
      </c>
    </row>
    <row r="49" spans="4:21" x14ac:dyDescent="0.25">
      <c r="E49" s="9">
        <f t="shared" si="40"/>
        <v>1</v>
      </c>
      <c r="F49" s="13">
        <f t="shared" si="43"/>
        <v>0</v>
      </c>
      <c r="G49" s="13">
        <f t="shared" si="43"/>
        <v>0</v>
      </c>
      <c r="H49" s="13">
        <f t="shared" si="43"/>
        <v>0</v>
      </c>
      <c r="I49" s="13">
        <f t="shared" si="43"/>
        <v>0</v>
      </c>
      <c r="J49" s="13">
        <f>-(K23-J23)/($B$2)</f>
        <v>-6.6371163078312145</v>
      </c>
      <c r="K49" s="8">
        <f t="shared" si="44"/>
        <v>-5.5875399288233769</v>
      </c>
      <c r="L49" s="8">
        <f t="shared" si="44"/>
        <v>-3.9780686839871882</v>
      </c>
      <c r="M49" s="8">
        <f t="shared" si="44"/>
        <v>-3.0384538119592697</v>
      </c>
      <c r="N49" s="8">
        <f t="shared" si="44"/>
        <v>-2.3700877146622279</v>
      </c>
      <c r="O49" s="8">
        <f t="shared" si="44"/>
        <v>-1.8560131575123484</v>
      </c>
      <c r="P49" s="8">
        <f t="shared" si="44"/>
        <v>-1.4595642970203637</v>
      </c>
      <c r="Q49" s="8">
        <f t="shared" si="44"/>
        <v>-1.1666270124732447</v>
      </c>
      <c r="R49" s="8">
        <f t="shared" si="44"/>
        <v>-0.9669164290072807</v>
      </c>
      <c r="S49" s="8">
        <f t="shared" si="44"/>
        <v>-0.85136608923175983</v>
      </c>
      <c r="T49" s="8">
        <f t="shared" si="42"/>
        <v>-0.81360944281466452</v>
      </c>
      <c r="U49" s="2">
        <v>6</v>
      </c>
    </row>
    <row r="50" spans="4:21" x14ac:dyDescent="0.25">
      <c r="E50" s="9">
        <f t="shared" si="40"/>
        <v>0.8</v>
      </c>
      <c r="F50" s="12"/>
      <c r="G50" s="12"/>
      <c r="H50" s="12"/>
      <c r="I50" s="12"/>
      <c r="J50" s="12"/>
      <c r="K50" s="13">
        <f t="shared" si="43"/>
        <v>-5.0084561265923675</v>
      </c>
      <c r="L50" s="8">
        <f t="shared" si="44"/>
        <v>-4.4293723243613581</v>
      </c>
      <c r="M50" s="8">
        <f t="shared" si="44"/>
        <v>-3.4158269893894868</v>
      </c>
      <c r="N50" s="8">
        <f t="shared" si="44"/>
        <v>-2.6385367713555508</v>
      </c>
      <c r="O50" s="8">
        <f t="shared" si="44"/>
        <v>-2.0245153920373657</v>
      </c>
      <c r="P50" s="8">
        <f t="shared" si="44"/>
        <v>-1.5505783348515467</v>
      </c>
      <c r="Q50" s="8">
        <f t="shared" si="44"/>
        <v>-1.2069326713965578</v>
      </c>
      <c r="R50" s="8">
        <f t="shared" si="44"/>
        <v>-0.97823440451380916</v>
      </c>
      <c r="S50" s="8">
        <f t="shared" si="44"/>
        <v>-0.84849688388040523</v>
      </c>
      <c r="T50" s="8">
        <f t="shared" si="42"/>
        <v>-0.80655632983547054</v>
      </c>
      <c r="U50" s="2">
        <v>5</v>
      </c>
    </row>
    <row r="51" spans="4:21" x14ac:dyDescent="0.25">
      <c r="E51" s="9">
        <f t="shared" si="40"/>
        <v>0.60000000000000009</v>
      </c>
      <c r="F51" s="12"/>
      <c r="G51" s="12"/>
      <c r="H51" s="12"/>
      <c r="I51" s="12"/>
      <c r="J51" s="12"/>
      <c r="K51" s="12"/>
      <c r="L51" s="13">
        <f t="shared" si="43"/>
        <v>-3.9931586871215652</v>
      </c>
      <c r="M51" s="8">
        <f t="shared" si="44"/>
        <v>-3.5569450498817723</v>
      </c>
      <c r="N51" s="8">
        <f t="shared" si="44"/>
        <v>-2.7437169893331226</v>
      </c>
      <c r="O51" s="8">
        <f t="shared" si="44"/>
        <v>-2.0529333044300144</v>
      </c>
      <c r="P51" s="8">
        <f t="shared" si="44"/>
        <v>-1.5113009789518972</v>
      </c>
      <c r="Q51" s="8">
        <f t="shared" si="44"/>
        <v>-1.1322909337476295</v>
      </c>
      <c r="R51" s="8">
        <f t="shared" si="44"/>
        <v>-0.89059163377099293</v>
      </c>
      <c r="S51" s="8">
        <f t="shared" si="44"/>
        <v>-0.7578307119405836</v>
      </c>
      <c r="T51" s="8">
        <f t="shared" si="42"/>
        <v>-0.71562210876640941</v>
      </c>
      <c r="U51" s="2">
        <v>4</v>
      </c>
    </row>
    <row r="52" spans="4:21" x14ac:dyDescent="0.25">
      <c r="E52" s="9">
        <f t="shared" si="40"/>
        <v>0.4</v>
      </c>
      <c r="F52" s="12"/>
      <c r="G52" s="12"/>
      <c r="H52" s="12"/>
      <c r="I52" s="12"/>
      <c r="J52" s="12"/>
      <c r="K52" s="12"/>
      <c r="L52" s="12"/>
      <c r="M52" s="13">
        <f t="shared" si="43"/>
        <v>-3.141698940773463</v>
      </c>
      <c r="N52" s="8">
        <f t="shared" si="44"/>
        <v>-2.7264528316651528</v>
      </c>
      <c r="O52" s="8">
        <f t="shared" si="44"/>
        <v>-1.9321998573976733</v>
      </c>
      <c r="P52" s="8">
        <f t="shared" si="44"/>
        <v>-1.3094013427783995</v>
      </c>
      <c r="Q52" s="8">
        <f t="shared" si="44"/>
        <v>-0.92033845087107158</v>
      </c>
      <c r="R52" s="8">
        <f t="shared" si="44"/>
        <v>-0.69401048488194839</v>
      </c>
      <c r="S52" s="8">
        <f t="shared" si="44"/>
        <v>-0.5766122213445235</v>
      </c>
      <c r="T52" s="8">
        <f t="shared" si="42"/>
        <v>-0.54027068134899769</v>
      </c>
      <c r="U52" s="2">
        <v>3</v>
      </c>
    </row>
    <row r="53" spans="4:21" x14ac:dyDescent="0.25">
      <c r="E53" s="9">
        <f>E54+$B$2</f>
        <v>0.2</v>
      </c>
      <c r="F53" s="12"/>
      <c r="G53" s="12"/>
      <c r="H53" s="12"/>
      <c r="I53" s="12"/>
      <c r="J53" s="12"/>
      <c r="K53" s="12"/>
      <c r="L53" s="12"/>
      <c r="M53" s="12"/>
      <c r="N53" s="13">
        <f t="shared" si="43"/>
        <v>-2.1832323911911393</v>
      </c>
      <c r="O53" s="8">
        <f t="shared" si="44"/>
        <v>-1.6400119507171256</v>
      </c>
      <c r="P53" s="8">
        <f t="shared" si="44"/>
        <v>-0.8737660838929584</v>
      </c>
      <c r="Q53" s="8">
        <f t="shared" si="44"/>
        <v>-0.54565104207630888</v>
      </c>
      <c r="R53" s="8">
        <f t="shared" si="44"/>
        <v>-0.38849963354120581</v>
      </c>
      <c r="S53" s="8">
        <f t="shared" si="44"/>
        <v>-0.31433700720656543</v>
      </c>
      <c r="T53" s="8">
        <f t="shared" si="42"/>
        <v>-0.29223617394053214</v>
      </c>
      <c r="U53" s="2">
        <v>2</v>
      </c>
    </row>
    <row r="54" spans="4:21" x14ac:dyDescent="0.25">
      <c r="E54" s="9">
        <f>0</f>
        <v>0</v>
      </c>
      <c r="F54" s="12"/>
      <c r="G54" s="12"/>
      <c r="H54" s="12"/>
      <c r="I54" s="12"/>
      <c r="J54" s="12"/>
      <c r="K54" s="12"/>
      <c r="L54" s="12"/>
      <c r="M54" s="12"/>
      <c r="N54" s="12"/>
      <c r="O54" s="13">
        <f t="shared" ref="O54:S54" si="45">-(O28-N28)/($B$2)</f>
        <v>0</v>
      </c>
      <c r="P54" s="13">
        <f t="shared" si="45"/>
        <v>0</v>
      </c>
      <c r="Q54" s="13">
        <f t="shared" si="45"/>
        <v>0</v>
      </c>
      <c r="R54" s="13">
        <f t="shared" si="45"/>
        <v>0</v>
      </c>
      <c r="S54" s="13">
        <f t="shared" si="45"/>
        <v>0</v>
      </c>
      <c r="T54" s="13">
        <f t="shared" si="42"/>
        <v>0</v>
      </c>
      <c r="U54" s="2">
        <v>1</v>
      </c>
    </row>
    <row r="55" spans="4:21" x14ac:dyDescent="0.25">
      <c r="F55" s="9">
        <v>0</v>
      </c>
      <c r="G55" s="9">
        <f>F55+$B$2</f>
        <v>0.2</v>
      </c>
      <c r="H55" s="9">
        <f t="shared" ref="H55:T55" si="46">G55+$B$2</f>
        <v>0.4</v>
      </c>
      <c r="I55" s="9">
        <f t="shared" si="46"/>
        <v>0.60000000000000009</v>
      </c>
      <c r="J55" s="9">
        <f t="shared" si="46"/>
        <v>0.8</v>
      </c>
      <c r="K55" s="9">
        <f t="shared" si="46"/>
        <v>1</v>
      </c>
      <c r="L55" s="9">
        <f t="shared" si="46"/>
        <v>1.2</v>
      </c>
      <c r="M55" s="9">
        <f t="shared" si="46"/>
        <v>1.4</v>
      </c>
      <c r="N55" s="9">
        <f t="shared" si="46"/>
        <v>1.5999999999999999</v>
      </c>
      <c r="O55" s="9">
        <f t="shared" si="46"/>
        <v>1.7999999999999998</v>
      </c>
      <c r="P55" s="9">
        <f t="shared" si="46"/>
        <v>1.9999999999999998</v>
      </c>
      <c r="Q55" s="9">
        <f t="shared" si="46"/>
        <v>2.1999999999999997</v>
      </c>
      <c r="R55" s="9">
        <f t="shared" si="46"/>
        <v>2.4</v>
      </c>
      <c r="S55" s="9">
        <f t="shared" si="46"/>
        <v>2.6</v>
      </c>
      <c r="T55" s="9">
        <f t="shared" si="46"/>
        <v>2.8000000000000003</v>
      </c>
    </row>
    <row r="57" spans="4:21" ht="15.75" customHeight="1" x14ac:dyDescent="0.25">
      <c r="D57" s="7" t="s">
        <v>15</v>
      </c>
      <c r="E57" s="9">
        <f t="shared" ref="E57:E65" si="47">E58+$B$2</f>
        <v>1.9999999999999998</v>
      </c>
      <c r="F57" s="13">
        <f>(F31^2+F44^2)^0.5</f>
        <v>10</v>
      </c>
      <c r="G57" s="13">
        <f t="shared" ref="G57:T57" si="48">(G31^2+G44^2)^0.5</f>
        <v>9.8582767319405562</v>
      </c>
      <c r="H57" s="13">
        <f t="shared" si="48"/>
        <v>9.6756591466239072</v>
      </c>
      <c r="I57" s="13">
        <f t="shared" si="48"/>
        <v>9.4096348577020184</v>
      </c>
      <c r="J57" s="13">
        <f t="shared" si="48"/>
        <v>9.0239139480506392</v>
      </c>
      <c r="K57" s="13">
        <f t="shared" si="48"/>
        <v>8.515565028200065</v>
      </c>
      <c r="L57" s="13">
        <f t="shared" si="48"/>
        <v>7.9485462295957454</v>
      </c>
      <c r="M57" s="13">
        <f t="shared" si="48"/>
        <v>7.3892542421981844</v>
      </c>
      <c r="N57" s="13">
        <f t="shared" si="48"/>
        <v>6.8790489771887309</v>
      </c>
      <c r="O57" s="13">
        <f t="shared" si="48"/>
        <v>6.4349676836739267</v>
      </c>
      <c r="P57" s="13">
        <f t="shared" si="48"/>
        <v>6.0578555531398592</v>
      </c>
      <c r="Q57" s="13">
        <f t="shared" si="48"/>
        <v>5.7394572119467924</v>
      </c>
      <c r="R57" s="13">
        <f t="shared" si="48"/>
        <v>5.4669808788878793</v>
      </c>
      <c r="S57" s="13">
        <f t="shared" si="48"/>
        <v>5.2256558891081806</v>
      </c>
      <c r="T57" s="13">
        <f t="shared" si="48"/>
        <v>5</v>
      </c>
      <c r="U57" s="2">
        <v>11</v>
      </c>
    </row>
    <row r="58" spans="4:21" x14ac:dyDescent="0.25">
      <c r="E58" s="9">
        <f t="shared" si="47"/>
        <v>1.7999999999999998</v>
      </c>
      <c r="F58" s="8">
        <f t="shared" ref="F58:T67" si="49">(F32^2+F45^2)^0.5</f>
        <v>10.001004223812199</v>
      </c>
      <c r="G58" s="8">
        <f t="shared" si="49"/>
        <v>9.8800549063957153</v>
      </c>
      <c r="H58" s="8">
        <f t="shared" si="49"/>
        <v>9.719951327483928</v>
      </c>
      <c r="I58" s="8">
        <f t="shared" si="49"/>
        <v>9.475088623399019</v>
      </c>
      <c r="J58" s="8">
        <f t="shared" si="49"/>
        <v>9.0962193891588239</v>
      </c>
      <c r="K58" s="8">
        <f t="shared" si="49"/>
        <v>8.5618000086646493</v>
      </c>
      <c r="L58" s="8">
        <f t="shared" si="49"/>
        <v>7.9646173273111716</v>
      </c>
      <c r="M58" s="8">
        <f t="shared" si="49"/>
        <v>7.3840992987640037</v>
      </c>
      <c r="N58" s="8">
        <f t="shared" si="49"/>
        <v>6.8625945236426462</v>
      </c>
      <c r="O58" s="8">
        <f t="shared" si="49"/>
        <v>6.4146376021928821</v>
      </c>
      <c r="P58" s="8">
        <f t="shared" si="49"/>
        <v>6.0385204958861785</v>
      </c>
      <c r="Q58" s="8">
        <f t="shared" si="49"/>
        <v>5.7241254454170649</v>
      </c>
      <c r="R58" s="8">
        <f t="shared" si="49"/>
        <v>5.4574551471772272</v>
      </c>
      <c r="S58" s="8">
        <f t="shared" si="49"/>
        <v>5.223042916601444</v>
      </c>
      <c r="T58" s="8">
        <f t="shared" si="49"/>
        <v>5.0050894677607118</v>
      </c>
      <c r="U58" s="2">
        <v>10</v>
      </c>
    </row>
    <row r="59" spans="4:21" x14ac:dyDescent="0.25">
      <c r="E59" s="9">
        <f t="shared" si="47"/>
        <v>1.5999999999999999</v>
      </c>
      <c r="F59" s="8">
        <f t="shared" si="49"/>
        <v>10.002941146426622</v>
      </c>
      <c r="G59" s="8">
        <f t="shared" si="49"/>
        <v>9.9432741282084542</v>
      </c>
      <c r="H59" s="8">
        <f t="shared" si="49"/>
        <v>9.8540853509735502</v>
      </c>
      <c r="I59" s="8">
        <f t="shared" si="49"/>
        <v>9.6863560181451511</v>
      </c>
      <c r="J59" s="8">
        <f t="shared" si="49"/>
        <v>9.3484487958751021</v>
      </c>
      <c r="K59" s="8">
        <f t="shared" si="49"/>
        <v>8.7091297820651707</v>
      </c>
      <c r="L59" s="8">
        <f t="shared" si="49"/>
        <v>8.0080173713365195</v>
      </c>
      <c r="M59" s="8">
        <f t="shared" si="49"/>
        <v>7.361372231491651</v>
      </c>
      <c r="N59" s="8">
        <f t="shared" si="49"/>
        <v>6.8071986090865231</v>
      </c>
      <c r="O59" s="8">
        <f t="shared" si="49"/>
        <v>6.349325627052135</v>
      </c>
      <c r="P59" s="8">
        <f t="shared" si="49"/>
        <v>5.9775369933964608</v>
      </c>
      <c r="Q59" s="8">
        <f t="shared" si="49"/>
        <v>5.6760370567002871</v>
      </c>
      <c r="R59" s="8">
        <f t="shared" si="49"/>
        <v>5.427280835330337</v>
      </c>
      <c r="S59" s="8">
        <f t="shared" si="49"/>
        <v>5.2138020974279016</v>
      </c>
      <c r="T59" s="8">
        <f t="shared" si="49"/>
        <v>5.0189425721458933</v>
      </c>
      <c r="U59" s="2">
        <v>9</v>
      </c>
    </row>
    <row r="60" spans="4:21" x14ac:dyDescent="0.25">
      <c r="E60" s="9">
        <f t="shared" si="47"/>
        <v>1.4</v>
      </c>
      <c r="F60" s="8">
        <f t="shared" si="49"/>
        <v>10.003463391355245</v>
      </c>
      <c r="G60" s="8">
        <f t="shared" si="49"/>
        <v>10.037711418271506</v>
      </c>
      <c r="H60" s="8">
        <f t="shared" si="49"/>
        <v>10.072321218462816</v>
      </c>
      <c r="I60" s="8">
        <f t="shared" si="49"/>
        <v>10.082652402993959</v>
      </c>
      <c r="J60" s="8">
        <f t="shared" si="49"/>
        <v>9.9360348143588908</v>
      </c>
      <c r="K60" s="8">
        <f t="shared" si="49"/>
        <v>8.9760965367009309</v>
      </c>
      <c r="L60" s="8">
        <f t="shared" si="49"/>
        <v>8.0563024281910174</v>
      </c>
      <c r="M60" s="8">
        <f t="shared" si="49"/>
        <v>7.296493137688433</v>
      </c>
      <c r="N60" s="8">
        <f t="shared" si="49"/>
        <v>6.6944865903045896</v>
      </c>
      <c r="O60" s="8">
        <f t="shared" si="49"/>
        <v>6.226496354198674</v>
      </c>
      <c r="P60" s="8">
        <f t="shared" si="49"/>
        <v>5.8664829754418379</v>
      </c>
      <c r="Q60" s="8">
        <f t="shared" si="49"/>
        <v>5.5893771270061281</v>
      </c>
      <c r="R60" s="8">
        <f t="shared" si="49"/>
        <v>5.3720684386222874</v>
      </c>
      <c r="S60" s="8">
        <f t="shared" si="49"/>
        <v>5.1940626422139253</v>
      </c>
      <c r="T60" s="8">
        <f t="shared" si="49"/>
        <v>5.0375712622427864</v>
      </c>
      <c r="U60" s="2">
        <v>8</v>
      </c>
    </row>
    <row r="61" spans="4:21" x14ac:dyDescent="0.25">
      <c r="E61" s="9">
        <f t="shared" si="47"/>
        <v>1.2</v>
      </c>
      <c r="F61" s="8">
        <f t="shared" si="49"/>
        <v>10.001568397202652</v>
      </c>
      <c r="G61" s="8">
        <f t="shared" si="49"/>
        <v>10.134050989869134</v>
      </c>
      <c r="H61" s="8">
        <f t="shared" si="49"/>
        <v>10.324215152749577</v>
      </c>
      <c r="I61" s="8">
        <f t="shared" si="49"/>
        <v>10.664754489088828</v>
      </c>
      <c r="J61" s="8">
        <f t="shared" si="49"/>
        <v>11.39998385416208</v>
      </c>
      <c r="K61" s="8">
        <f t="shared" si="49"/>
        <v>9.3340324483563819</v>
      </c>
      <c r="L61" s="8">
        <f t="shared" si="49"/>
        <v>8.0421656561321289</v>
      </c>
      <c r="M61" s="8">
        <f t="shared" si="49"/>
        <v>7.1415587964030447</v>
      </c>
      <c r="N61" s="8">
        <f t="shared" si="49"/>
        <v>6.4945985651077098</v>
      </c>
      <c r="O61" s="8">
        <f t="shared" si="49"/>
        <v>6.0273588193530534</v>
      </c>
      <c r="P61" s="8">
        <f t="shared" si="49"/>
        <v>5.693230659708731</v>
      </c>
      <c r="Q61" s="8">
        <f t="shared" si="49"/>
        <v>5.4560686322033565</v>
      </c>
      <c r="R61" s="8">
        <f t="shared" si="49"/>
        <v>5.2858813840158172</v>
      </c>
      <c r="S61" s="8">
        <f t="shared" si="49"/>
        <v>5.1585208447949293</v>
      </c>
      <c r="T61" s="8">
        <f t="shared" si="49"/>
        <v>5.0552198195616915</v>
      </c>
      <c r="U61" s="2">
        <v>7</v>
      </c>
    </row>
    <row r="62" spans="4:21" x14ac:dyDescent="0.25">
      <c r="E62" s="9">
        <f t="shared" si="47"/>
        <v>1</v>
      </c>
      <c r="F62" s="13">
        <f t="shared" si="49"/>
        <v>10</v>
      </c>
      <c r="G62" s="13">
        <f t="shared" si="49"/>
        <v>10.177116921616323</v>
      </c>
      <c r="H62" s="13">
        <f t="shared" si="49"/>
        <v>10.445257082224936</v>
      </c>
      <c r="I62" s="13">
        <f t="shared" si="49"/>
        <v>10.970738130799994</v>
      </c>
      <c r="J62" s="13">
        <f t="shared" si="49"/>
        <v>13.869864572489618</v>
      </c>
      <c r="K62" s="8">
        <f t="shared" si="49"/>
        <v>9.5029388569063471</v>
      </c>
      <c r="L62" s="8">
        <f t="shared" si="49"/>
        <v>7.8147989666228082</v>
      </c>
      <c r="M62" s="8">
        <f t="shared" si="49"/>
        <v>6.8275909542710433</v>
      </c>
      <c r="N62" s="8">
        <f t="shared" si="49"/>
        <v>6.1735956764541289</v>
      </c>
      <c r="O62" s="8">
        <f t="shared" si="49"/>
        <v>5.7318531868116995</v>
      </c>
      <c r="P62" s="8">
        <f t="shared" si="49"/>
        <v>5.4451560554987894</v>
      </c>
      <c r="Q62" s="8">
        <f t="shared" si="49"/>
        <v>5.2682940353481849</v>
      </c>
      <c r="R62" s="8">
        <f t="shared" si="49"/>
        <v>5.1633973477740378</v>
      </c>
      <c r="S62" s="8">
        <f t="shared" si="49"/>
        <v>5.1022350258723241</v>
      </c>
      <c r="T62" s="8">
        <f t="shared" si="49"/>
        <v>5.0657635481176166</v>
      </c>
      <c r="U62" s="2">
        <v>6</v>
      </c>
    </row>
    <row r="63" spans="4:21" x14ac:dyDescent="0.25">
      <c r="E63" s="9">
        <f t="shared" si="47"/>
        <v>0.8</v>
      </c>
      <c r="F63" s="12"/>
      <c r="G63" s="12"/>
      <c r="H63" s="12"/>
      <c r="I63" s="12"/>
      <c r="J63" s="12"/>
      <c r="K63" s="13">
        <f t="shared" si="49"/>
        <v>8.3148028031745689</v>
      </c>
      <c r="L63" s="8">
        <f t="shared" si="49"/>
        <v>7.1302132958288063</v>
      </c>
      <c r="M63" s="8">
        <f t="shared" si="49"/>
        <v>6.3054244475469448</v>
      </c>
      <c r="N63" s="8">
        <f t="shared" si="49"/>
        <v>5.7146418019434302</v>
      </c>
      <c r="O63" s="8">
        <f t="shared" si="49"/>
        <v>5.3261861634478898</v>
      </c>
      <c r="P63" s="8">
        <f t="shared" si="49"/>
        <v>5.1129179263515399</v>
      </c>
      <c r="Q63" s="8">
        <f t="shared" si="49"/>
        <v>5.0218728147637899</v>
      </c>
      <c r="R63" s="8">
        <f t="shared" si="49"/>
        <v>5.0030328445921404</v>
      </c>
      <c r="S63" s="8">
        <f t="shared" si="49"/>
        <v>5.0231873020147226</v>
      </c>
      <c r="T63" s="8">
        <f t="shared" si="49"/>
        <v>5.0646355360674935</v>
      </c>
      <c r="U63" s="2">
        <v>5</v>
      </c>
    </row>
    <row r="64" spans="4:21" x14ac:dyDescent="0.25">
      <c r="E64" s="9">
        <f t="shared" si="47"/>
        <v>0.60000000000000009</v>
      </c>
      <c r="F64" s="12"/>
      <c r="G64" s="12"/>
      <c r="H64" s="12"/>
      <c r="I64" s="12"/>
      <c r="J64" s="12"/>
      <c r="K64" s="12"/>
      <c r="L64" s="13">
        <f t="shared" si="49"/>
        <v>6.405462440178308</v>
      </c>
      <c r="M64" s="8">
        <f t="shared" si="49"/>
        <v>5.6807743552879115</v>
      </c>
      <c r="N64" s="8">
        <f t="shared" si="49"/>
        <v>5.1423313890350819</v>
      </c>
      <c r="O64" s="8">
        <f t="shared" si="49"/>
        <v>4.8023720852420597</v>
      </c>
      <c r="P64" s="8">
        <f t="shared" si="49"/>
        <v>4.6916031888036684</v>
      </c>
      <c r="Q64" s="8">
        <f t="shared" si="49"/>
        <v>4.7204459872758848</v>
      </c>
      <c r="R64" s="8">
        <f t="shared" si="49"/>
        <v>4.811260552340344</v>
      </c>
      <c r="S64" s="8">
        <f t="shared" si="49"/>
        <v>4.9255056752759376</v>
      </c>
      <c r="T64" s="8">
        <f t="shared" si="49"/>
        <v>5.0509518907385447</v>
      </c>
      <c r="U64" s="2">
        <v>4</v>
      </c>
    </row>
    <row r="65" spans="5:21" x14ac:dyDescent="0.25">
      <c r="E65" s="9">
        <f t="shared" si="47"/>
        <v>0.4</v>
      </c>
      <c r="F65" s="12"/>
      <c r="G65" s="12"/>
      <c r="H65" s="12"/>
      <c r="I65" s="12"/>
      <c r="J65" s="12"/>
      <c r="K65" s="12"/>
      <c r="L65" s="12"/>
      <c r="M65" s="13">
        <f t="shared" si="49"/>
        <v>5.0809043028767542</v>
      </c>
      <c r="N65" s="8">
        <f t="shared" si="49"/>
        <v>4.48167414379642</v>
      </c>
      <c r="O65" s="8">
        <f t="shared" si="49"/>
        <v>4.1287120307964065</v>
      </c>
      <c r="P65" s="8">
        <f t="shared" si="49"/>
        <v>4.1802357755106927</v>
      </c>
      <c r="Q65" s="8">
        <f t="shared" si="49"/>
        <v>4.3839094616286545</v>
      </c>
      <c r="R65" s="8">
        <f t="shared" si="49"/>
        <v>4.6090563211925062</v>
      </c>
      <c r="S65" s="8">
        <f t="shared" si="49"/>
        <v>4.8229001536551195</v>
      </c>
      <c r="T65" s="8">
        <f t="shared" si="49"/>
        <v>5.0291045335253584</v>
      </c>
      <c r="U65" s="2">
        <v>3</v>
      </c>
    </row>
    <row r="66" spans="5:21" x14ac:dyDescent="0.25">
      <c r="E66" s="9">
        <f>E67+$B$2</f>
        <v>0.2</v>
      </c>
      <c r="F66" s="12"/>
      <c r="G66" s="12"/>
      <c r="H66" s="12"/>
      <c r="I66" s="12"/>
      <c r="J66" s="12"/>
      <c r="K66" s="12"/>
      <c r="L66" s="12"/>
      <c r="M66" s="12"/>
      <c r="N66" s="13">
        <f t="shared" si="49"/>
        <v>3.825803955824616</v>
      </c>
      <c r="O66" s="8">
        <f t="shared" si="49"/>
        <v>3.1816951836701644</v>
      </c>
      <c r="P66" s="8">
        <f t="shared" si="49"/>
        <v>3.6103769557003886</v>
      </c>
      <c r="Q66" s="8">
        <f t="shared" si="49"/>
        <v>4.0725733851082921</v>
      </c>
      <c r="R66" s="8">
        <f t="shared" si="49"/>
        <v>4.4404156793728538</v>
      </c>
      <c r="S66" s="8">
        <f t="shared" si="49"/>
        <v>4.7402982447980975</v>
      </c>
      <c r="T66" s="8">
        <f t="shared" si="49"/>
        <v>5.0085329170685702</v>
      </c>
      <c r="U66" s="2">
        <v>2</v>
      </c>
    </row>
    <row r="67" spans="5:21" x14ac:dyDescent="0.25">
      <c r="E67" s="9">
        <f>0</f>
        <v>0</v>
      </c>
      <c r="F67" s="12"/>
      <c r="G67" s="12"/>
      <c r="H67" s="12"/>
      <c r="I67" s="12"/>
      <c r="J67" s="12"/>
      <c r="K67" s="12"/>
      <c r="L67" s="12"/>
      <c r="M67" s="12"/>
      <c r="N67" s="12"/>
      <c r="O67" s="13">
        <f t="shared" si="49"/>
        <v>2.1832323911911393</v>
      </c>
      <c r="P67" s="13">
        <f t="shared" si="49"/>
        <v>3.2800239014342512</v>
      </c>
      <c r="Q67" s="13">
        <f t="shared" si="49"/>
        <v>3.9307645589770561</v>
      </c>
      <c r="R67" s="13">
        <f t="shared" si="49"/>
        <v>4.3713259855868687</v>
      </c>
      <c r="S67" s="13">
        <f t="shared" si="49"/>
        <v>4.7077638260594679</v>
      </c>
      <c r="T67" s="13">
        <f t="shared" si="49"/>
        <v>5</v>
      </c>
      <c r="U67" s="2">
        <v>1</v>
      </c>
    </row>
    <row r="68" spans="5:21" x14ac:dyDescent="0.25">
      <c r="F68" s="9">
        <v>0</v>
      </c>
      <c r="G68" s="9">
        <f>F68+$B$2</f>
        <v>0.2</v>
      </c>
      <c r="H68" s="9">
        <f t="shared" ref="H68:T68" si="50">G68+$B$2</f>
        <v>0.4</v>
      </c>
      <c r="I68" s="9">
        <f t="shared" si="50"/>
        <v>0.60000000000000009</v>
      </c>
      <c r="J68" s="9">
        <f t="shared" si="50"/>
        <v>0.8</v>
      </c>
      <c r="K68" s="9">
        <f t="shared" si="50"/>
        <v>1</v>
      </c>
      <c r="L68" s="9">
        <f t="shared" si="50"/>
        <v>1.2</v>
      </c>
      <c r="M68" s="9">
        <f t="shared" si="50"/>
        <v>1.4</v>
      </c>
      <c r="N68" s="9">
        <f t="shared" si="50"/>
        <v>1.5999999999999999</v>
      </c>
      <c r="O68" s="9">
        <f t="shared" si="50"/>
        <v>1.7999999999999998</v>
      </c>
      <c r="P68" s="9">
        <f t="shared" si="50"/>
        <v>1.9999999999999998</v>
      </c>
      <c r="Q68" s="9">
        <f t="shared" si="50"/>
        <v>2.1999999999999997</v>
      </c>
      <c r="R68" s="9">
        <f t="shared" si="50"/>
        <v>2.4</v>
      </c>
      <c r="S68" s="9">
        <f t="shared" si="50"/>
        <v>2.6</v>
      </c>
      <c r="T68" s="9">
        <f t="shared" si="50"/>
        <v>2.8000000000000003</v>
      </c>
    </row>
    <row r="69" spans="5:21" x14ac:dyDescent="0.25"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</row>
  </sheetData>
  <mergeCells count="2">
    <mergeCell ref="W4:AL4"/>
    <mergeCell ref="W17:AL17"/>
  </mergeCells>
  <conditionalFormatting sqref="F18:T28">
    <cfRule type="colorScale" priority="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31:T41">
    <cfRule type="colorScale" priority="3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44:T54"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57:T67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pageSetup paperSize="9"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2021-11-22T15:41:00Z</dcterms:modified>
</cp:coreProperties>
</file>