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2"/>
  </bookViews>
  <sheets>
    <sheet name="ГУ 1 рода" sheetId="1" r:id="rId1"/>
    <sheet name="ГУ 2 рода" sheetId="2" r:id="rId2"/>
    <sheet name="ГУ 3 рода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3" l="1"/>
  <c r="G15" i="3" s="1"/>
  <c r="H15" i="3" l="1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3" i="3"/>
  <c r="H12" i="3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G12" i="3"/>
  <c r="C5" i="3"/>
  <c r="C5" i="2"/>
  <c r="C4" i="3"/>
  <c r="F16" i="2" l="1"/>
  <c r="G15" i="1"/>
  <c r="C5" i="1"/>
  <c r="H12" i="2"/>
  <c r="I12" i="2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G12" i="2"/>
  <c r="C4" i="2"/>
  <c r="C4" i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1" l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G15" i="2"/>
  <c r="H15" i="2"/>
  <c r="P15" i="2"/>
  <c r="X15" i="2"/>
  <c r="AF15" i="2"/>
  <c r="N15" i="2"/>
  <c r="V15" i="2"/>
  <c r="AD15" i="2"/>
  <c r="I15" i="2"/>
  <c r="Q15" i="2"/>
  <c r="Y15" i="2"/>
  <c r="AG15" i="2"/>
  <c r="O15" i="2"/>
  <c r="W15" i="2"/>
  <c r="AE15" i="2"/>
  <c r="H16" i="2"/>
  <c r="X16" i="2"/>
  <c r="Z15" i="2"/>
  <c r="AH16" i="2"/>
  <c r="AH15" i="2"/>
  <c r="U15" i="2"/>
  <c r="U16" i="2"/>
  <c r="AC15" i="2"/>
  <c r="S15" i="2"/>
  <c r="AA16" i="2"/>
  <c r="AA15" i="2"/>
  <c r="Z16" i="2"/>
  <c r="AC16" i="2"/>
  <c r="S16" i="2"/>
  <c r="O16" i="2"/>
  <c r="AE16" i="2"/>
  <c r="T16" i="2"/>
  <c r="T15" i="2"/>
  <c r="AB15" i="2"/>
  <c r="AB16" i="2"/>
  <c r="N16" i="2"/>
  <c r="AD16" i="2"/>
  <c r="M16" i="2"/>
  <c r="M15" i="2"/>
  <c r="K16" i="2"/>
  <c r="K15" i="2"/>
  <c r="L16" i="2"/>
  <c r="L15" i="2"/>
  <c r="P16" i="2"/>
  <c r="AF16" i="2"/>
  <c r="J16" i="2"/>
  <c r="J15" i="2"/>
  <c r="R15" i="2"/>
  <c r="R16" i="2"/>
  <c r="V16" i="2"/>
  <c r="I16" i="2"/>
  <c r="Y16" i="2"/>
  <c r="AI16" i="2"/>
  <c r="AI15" i="2"/>
  <c r="Q16" i="2"/>
  <c r="AG16" i="2"/>
  <c r="W16" i="2"/>
  <c r="G16" i="2" l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<sst xmlns="http://schemas.openxmlformats.org/spreadsheetml/2006/main" count="38" uniqueCount="15">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</sst>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1" xfId="0" applyBorder="1"/>
    <xf numFmtId="165" fontId="0" fillId="0" borderId="0" xfId="0" applyNumberFormat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60576"/>
        <c:axId val="226358912"/>
      </c:scatterChart>
      <c:valAx>
        <c:axId val="22636057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58912"/>
        <c:crosses val="autoZero"/>
        <c:crossBetween val="midCat"/>
      </c:valAx>
      <c:valAx>
        <c:axId val="226358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360576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100811635651"/>
          <c:y val="3.0964491770925955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2E-46B3-BCC9-F9EF02EB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62064"/>
        <c:axId val="351861232"/>
      </c:scatterChart>
      <c:valAx>
        <c:axId val="351862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1232"/>
        <c:crosses val="autoZero"/>
        <c:crossBetween val="midCat"/>
      </c:valAx>
      <c:valAx>
        <c:axId val="35186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57011852736012E-2"/>
          <c:y val="5.828780713926196E-2"/>
          <c:w val="0.83031245788652952"/>
          <c:h val="0.8931390202446863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1034.8901342390145</c:v>
                </c:pt>
                <c:pt idx="1">
                  <c:v>1040.2154250668334</c:v>
                </c:pt>
                <c:pt idx="2">
                  <c:v>1045.5553408568494</c:v>
                </c:pt>
                <c:pt idx="3">
                  <c:v>1050.9099385092586</c:v>
                </c:pt>
                <c:pt idx="4">
                  <c:v>1056.2792264420495</c:v>
                </c:pt>
                <c:pt idx="5">
                  <c:v>1061.6631645212569</c:v>
                </c:pt>
                <c:pt idx="6">
                  <c:v>1067.0616642558305</c:v>
                </c:pt>
                <c:pt idx="7">
                  <c:v>1072.4745890079989</c:v>
                </c:pt>
                <c:pt idx="8">
                  <c:v>1077.9017545452841</c:v>
                </c:pt>
                <c:pt idx="9">
                  <c:v>1083.3429295308267</c:v>
                </c:pt>
                <c:pt idx="10">
                  <c:v>1088.7978364220337</c:v>
                </c:pt>
                <c:pt idx="11">
                  <c:v>1094.266152238175</c:v>
                </c:pt>
                <c:pt idx="12">
                  <c:v>1099.7475097894994</c:v>
                </c:pt>
                <c:pt idx="13">
                  <c:v>1105.2414987167417</c:v>
                </c:pt>
                <c:pt idx="14">
                  <c:v>1110.7476670292872</c:v>
                </c:pt>
                <c:pt idx="15">
                  <c:v>1116.2655224084178</c:v>
                </c:pt>
                <c:pt idx="16">
                  <c:v>1121.7945340283707</c:v>
                </c:pt>
                <c:pt idx="17">
                  <c:v>1127.3341341121941</c:v>
                </c:pt>
                <c:pt idx="18">
                  <c:v>1132.8837200054224</c:v>
                </c:pt>
                <c:pt idx="19">
                  <c:v>1138.4426559703254</c:v>
                </c:pt>
                <c:pt idx="20">
                  <c:v>1144.0102754784796</c:v>
                </c:pt>
                <c:pt idx="21">
                  <c:v>1149.5858832260142</c:v>
                </c:pt>
                <c:pt idx="22">
                  <c:v>1155.1687576086467</c:v>
                </c:pt>
                <c:pt idx="23">
                  <c:v>1160.7581529372883</c:v>
                </c:pt>
                <c:pt idx="24">
                  <c:v>1166.3533020571622</c:v>
                </c:pt>
                <c:pt idx="25">
                  <c:v>1171.9534187398967</c:v>
                </c:pt>
                <c:pt idx="26">
                  <c:v>1177.5577004071581</c:v>
                </c:pt>
                <c:pt idx="27">
                  <c:v>1183.1653306721969</c:v>
                </c:pt>
                <c:pt idx="28">
                  <c:v>1188.7754821279859</c:v>
                </c:pt>
                <c:pt idx="29">
                  <c:v>1194.3873190081752</c:v>
                </c:pt>
                <c:pt idx="30">
                  <c:v>1200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C1-495B-997E-45F600CE5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60960"/>
        <c:axId val="320561376"/>
      </c:scatterChart>
      <c:valAx>
        <c:axId val="3205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561376"/>
        <c:crosses val="autoZero"/>
        <c:crossBetween val="midCat"/>
      </c:valAx>
      <c:valAx>
        <c:axId val="320561376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0560960"/>
        <c:crosses val="autoZero"/>
        <c:crossBetween val="midCat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202407</xdr:colOff>
      <xdr:row>18</xdr:row>
      <xdr:rowOff>15477</xdr:rowOff>
    </xdr:from>
    <xdr:to>
      <xdr:col>15</xdr:col>
      <xdr:colOff>20053</xdr:colOff>
      <xdr:row>38</xdr:row>
      <xdr:rowOff>120316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260683</xdr:colOff>
      <xdr:row>18</xdr:row>
      <xdr:rowOff>50131</xdr:rowOff>
    </xdr:from>
    <xdr:ext cx="471005" cy="339864"/>
    <xdr:sp macro="" textlink="">
      <xdr:nvSpPr>
        <xdr:cNvPr id="4" name="TextBox 3"/>
        <xdr:cNvSpPr txBox="1"/>
      </xdr:nvSpPr>
      <xdr:spPr>
        <a:xfrm>
          <a:off x="4571999" y="3479131"/>
          <a:ext cx="471005" cy="339864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531395</xdr:colOff>
      <xdr:row>36</xdr:row>
      <xdr:rowOff>140368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8512342" y="6998368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428624</xdr:colOff>
      <xdr:row>17</xdr:row>
      <xdr:rowOff>57148</xdr:rowOff>
    </xdr:from>
    <xdr:to>
      <xdr:col>13</xdr:col>
      <xdr:colOff>119062</xdr:colOff>
      <xdr:row>42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476250</xdr:colOff>
      <xdr:row>17</xdr:row>
      <xdr:rowOff>142875</xdr:rowOff>
    </xdr:from>
    <xdr:ext cx="619125" cy="583406"/>
    <xdr:sp macro="" textlink="">
      <xdr:nvSpPr>
        <xdr:cNvPr id="4" name="TextBox 3"/>
        <xdr:cNvSpPr txBox="1"/>
      </xdr:nvSpPr>
      <xdr:spPr>
        <a:xfrm>
          <a:off x="3548063" y="3381375"/>
          <a:ext cx="619125" cy="583406"/>
        </a:xfrm>
        <a:prstGeom prst="rect">
          <a:avLst/>
        </a:prstGeom>
        <a:solidFill>
          <a:sysClr val="window" lastClr="FFFFFF"/>
        </a:solidFill>
        <a:ln>
          <a:noFill/>
        </a:ln>
        <a:effectLst/>
      </xdr:spPr>
      <xdr:txBody>
        <a:bodyPr vertOverflow="clip" horzOverflow="clip" wrap="square" lIns="0" tIns="0" rIns="0" bIns="0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T,[C]</a:t>
          </a:r>
          <a:endParaRPr kumimoji="0" lang="ru-RU" sz="18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oneCellAnchor>
  <xdr:oneCellAnchor>
    <xdr:from>
      <xdr:col>12</xdr:col>
      <xdr:colOff>130968</xdr:colOff>
      <xdr:row>41</xdr:row>
      <xdr:rowOff>95250</xdr:rowOff>
    </xdr:from>
    <xdr:ext cx="70567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kumimoji="0" lang="en-US" sz="1800" b="1" i="1" u="none" strike="noStrike" kern="0" cap="none" spc="0" normalizeH="0" baseline="0" noProof="0">
                        <a:ln>
                          <a:noFill/>
                        </a:ln>
                        <a:solidFill>
                          <a:sysClr val="windowText" lastClr="000000"/>
                        </a:solidFill>
                        <a:effectLst/>
                        <a:uLnTx/>
                        <a:uFillTx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6" name="TextBox 5"/>
            <xdr:cNvSpPr txBox="1"/>
          </xdr:nvSpPr>
          <xdr:spPr>
            <a:xfrm>
              <a:off x="7453312" y="7905750"/>
              <a:ext cx="705679" cy="28180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  <a:effectLst/>
          </xdr:spPr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8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mbria Math" panose="02040503050406030204" pitchFamily="18" charset="0"/>
                  <a:ea typeface="+mn-ea"/>
                  <a:cs typeface="+mn-cs"/>
                </a:rPr>
                <a:t>𝑳,[𝑪]</a:t>
              </a:r>
              <a:endParaRPr kumimoji="0" lang="ru-RU" sz="1200" b="1" i="1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opLeftCell="A13" zoomScale="70" zoomScaleNormal="70" workbookViewId="0">
      <selection activeCell="D25" sqref="D25"/>
    </sheetView>
  </sheetViews>
  <sheetFormatPr defaultRowHeight="15" x14ac:dyDescent="0.25"/>
  <cols>
    <col min="3" max="3" width="9.5703125" bestFit="1" customWidth="1"/>
    <col min="6" max="10" width="7.140625" bestFit="1" customWidth="1"/>
    <col min="11" max="11" width="7.140625" customWidth="1"/>
    <col min="12" max="36" width="7.1406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6"/>
      <c r="C7" s="6"/>
    </row>
    <row r="8" spans="2:36" x14ac:dyDescent="0.25">
      <c r="B8" s="2" t="s">
        <v>4</v>
      </c>
      <c r="C8" s="2">
        <v>460</v>
      </c>
    </row>
    <row r="9" spans="2:36" x14ac:dyDescent="0.25">
      <c r="B9" s="5" t="s">
        <v>5</v>
      </c>
      <c r="C9" s="5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  <row r="29" spans="21:21" ht="15.75" x14ac:dyDescent="0.25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6"/>
  <sheetViews>
    <sheetView topLeftCell="A4" zoomScale="70" zoomScaleNormal="70" workbookViewId="0">
      <selection activeCell="L8" sqref="L8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5000</v>
      </c>
      <c r="D6" s="9">
        <v>5000.2333333333345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11</v>
      </c>
      <c r="C12" s="2">
        <v>9200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v>300</v>
      </c>
      <c r="G13" s="1">
        <v>293.33333333333297</v>
      </c>
      <c r="H13" s="1">
        <v>286.66666666666595</v>
      </c>
      <c r="I13" s="1">
        <v>279.99999999999898</v>
      </c>
      <c r="J13" s="1">
        <v>273.33333333333206</v>
      </c>
      <c r="K13" s="1">
        <v>266.66666666666515</v>
      </c>
      <c r="L13" s="1">
        <v>259.99999999999829</v>
      </c>
      <c r="M13" s="1">
        <v>253.3333333333315</v>
      </c>
      <c r="N13" s="1">
        <v>246.66666666666472</v>
      </c>
      <c r="O13" s="1">
        <v>239.99999999999795</v>
      </c>
      <c r="P13" s="1">
        <v>233.33333333333121</v>
      </c>
      <c r="Q13" s="1">
        <v>226.6666666666645</v>
      </c>
      <c r="R13" s="1">
        <v>219.99999999999778</v>
      </c>
      <c r="S13" s="1">
        <v>213.3333333333311</v>
      </c>
      <c r="T13" s="1">
        <v>206.66666666666444</v>
      </c>
      <c r="U13" s="1">
        <v>199.99999999999778</v>
      </c>
      <c r="V13" s="1">
        <v>193.33333333333115</v>
      </c>
      <c r="W13" s="1">
        <v>186.66666666666453</v>
      </c>
      <c r="X13" s="1">
        <v>179.99999999999793</v>
      </c>
      <c r="Y13" s="1">
        <v>173.33333333333132</v>
      </c>
      <c r="Z13" s="1">
        <v>166.66666666666475</v>
      </c>
      <c r="AA13" s="1">
        <v>159.99999999999821</v>
      </c>
      <c r="AB13" s="1">
        <v>153.33333333333167</v>
      </c>
      <c r="AC13" s="1">
        <v>146.66666666666515</v>
      </c>
      <c r="AD13" s="1">
        <v>139.99999999999866</v>
      </c>
      <c r="AE13" s="1">
        <v>133.33333333333218</v>
      </c>
      <c r="AF13" s="1">
        <v>126.66666666666573</v>
      </c>
      <c r="AG13" s="1">
        <v>119.99999999999929</v>
      </c>
      <c r="AH13" s="1">
        <v>113.33333333333286</v>
      </c>
      <c r="AI13" s="1">
        <v>106.66666666666643</v>
      </c>
      <c r="AJ13" s="1">
        <v>100</v>
      </c>
    </row>
    <row r="15" spans="2:36" x14ac:dyDescent="0.25">
      <c r="E15" t="s">
        <v>10</v>
      </c>
      <c r="F15" s="1"/>
      <c r="G15" s="1">
        <f>G13+(($C$10*$C$5)/($C$9*$C$8))*((H13-2*G13+F13)/($C$4^2))</f>
        <v>293.33333333333297</v>
      </c>
      <c r="H15" s="1">
        <f t="shared" ref="H15:AI15" si="1">H13+(($C$10*$C$5)/($C$9*$C$8))*((I13-2*H13+G13)/($C$4^2))</f>
        <v>286.66666666666595</v>
      </c>
      <c r="I15" s="1">
        <f t="shared" si="1"/>
        <v>279.99999999999898</v>
      </c>
      <c r="J15" s="1">
        <f t="shared" si="1"/>
        <v>273.33333333333206</v>
      </c>
      <c r="K15" s="1">
        <f t="shared" si="1"/>
        <v>266.66666666666515</v>
      </c>
      <c r="L15" s="1">
        <f t="shared" si="1"/>
        <v>259.99999999999829</v>
      </c>
      <c r="M15" s="1">
        <f t="shared" si="1"/>
        <v>253.3333333333315</v>
      </c>
      <c r="N15" s="1">
        <f t="shared" si="1"/>
        <v>246.66666666666472</v>
      </c>
      <c r="O15" s="1">
        <f t="shared" si="1"/>
        <v>239.99999999999795</v>
      </c>
      <c r="P15" s="1">
        <f t="shared" si="1"/>
        <v>233.33333333333121</v>
      </c>
      <c r="Q15" s="1">
        <f t="shared" si="1"/>
        <v>226.6666666666645</v>
      </c>
      <c r="R15" s="1">
        <f t="shared" si="1"/>
        <v>219.99999999999778</v>
      </c>
      <c r="S15" s="1">
        <f t="shared" si="1"/>
        <v>213.3333333333311</v>
      </c>
      <c r="T15" s="1">
        <f t="shared" si="1"/>
        <v>206.66666666666444</v>
      </c>
      <c r="U15" s="1">
        <f t="shared" si="1"/>
        <v>199.99999999999778</v>
      </c>
      <c r="V15" s="1">
        <f t="shared" si="1"/>
        <v>193.33333333333115</v>
      </c>
      <c r="W15" s="1">
        <f t="shared" si="1"/>
        <v>186.66666666666453</v>
      </c>
      <c r="X15" s="1">
        <f t="shared" si="1"/>
        <v>179.99999999999793</v>
      </c>
      <c r="Y15" s="1">
        <f t="shared" si="1"/>
        <v>173.33333333333132</v>
      </c>
      <c r="Z15" s="1">
        <f t="shared" si="1"/>
        <v>166.66666666666475</v>
      </c>
      <c r="AA15" s="1">
        <f t="shared" si="1"/>
        <v>159.99999999999821</v>
      </c>
      <c r="AB15" s="1">
        <f t="shared" si="1"/>
        <v>153.33333333333167</v>
      </c>
      <c r="AC15" s="1">
        <f t="shared" si="1"/>
        <v>146.66666666666515</v>
      </c>
      <c r="AD15" s="1">
        <f t="shared" si="1"/>
        <v>139.99999999999866</v>
      </c>
      <c r="AE15" s="1">
        <f t="shared" si="1"/>
        <v>133.33333333333218</v>
      </c>
      <c r="AF15" s="1">
        <f t="shared" si="1"/>
        <v>126.66666666666573</v>
      </c>
      <c r="AG15" s="1">
        <f t="shared" si="1"/>
        <v>119.99999999999929</v>
      </c>
      <c r="AH15" s="1">
        <f t="shared" si="1"/>
        <v>113.33333333333286</v>
      </c>
      <c r="AI15" s="1">
        <f t="shared" si="1"/>
        <v>106.66666666666643</v>
      </c>
    </row>
    <row r="16" spans="2:36" x14ac:dyDescent="0.25">
      <c r="E16" t="s">
        <v>12</v>
      </c>
      <c r="F16" s="1">
        <f>C12</f>
        <v>9200</v>
      </c>
      <c r="G16" s="1">
        <f>-$C$10*((G13-F13)/$C$4)</f>
        <v>92000.000000004962</v>
      </c>
      <c r="H16" s="1">
        <f t="shared" ref="H16:AI16" si="2">-$C$10*((H13-G13)/$C$4)</f>
        <v>92000.000000004962</v>
      </c>
      <c r="I16" s="1">
        <f t="shared" si="2"/>
        <v>92000.000000004176</v>
      </c>
      <c r="J16" s="1">
        <f t="shared" si="2"/>
        <v>92000.000000003391</v>
      </c>
      <c r="K16" s="1">
        <f t="shared" si="2"/>
        <v>92000.000000003391</v>
      </c>
      <c r="L16" s="1">
        <f t="shared" si="2"/>
        <v>92000.000000002605</v>
      </c>
      <c r="M16" s="1">
        <f t="shared" si="2"/>
        <v>92000.000000001819</v>
      </c>
      <c r="N16" s="1">
        <f t="shared" si="2"/>
        <v>92000.000000001426</v>
      </c>
      <c r="O16" s="1">
        <f t="shared" si="2"/>
        <v>92000.000000001426</v>
      </c>
      <c r="P16" s="1">
        <f t="shared" si="2"/>
        <v>92000.000000001033</v>
      </c>
      <c r="Q16" s="1">
        <f t="shared" si="2"/>
        <v>92000.000000000655</v>
      </c>
      <c r="R16" s="1">
        <f t="shared" si="2"/>
        <v>92000.000000000655</v>
      </c>
      <c r="S16" s="1">
        <f t="shared" si="2"/>
        <v>92000.000000000247</v>
      </c>
      <c r="T16" s="1">
        <f t="shared" si="2"/>
        <v>91999.999999999869</v>
      </c>
      <c r="U16" s="1">
        <f t="shared" si="2"/>
        <v>91999.999999999869</v>
      </c>
      <c r="V16" s="1">
        <f t="shared" si="2"/>
        <v>91999.999999999462</v>
      </c>
      <c r="W16" s="1">
        <f t="shared" si="2"/>
        <v>91999.999999999462</v>
      </c>
      <c r="X16" s="1">
        <f t="shared" si="2"/>
        <v>91999.999999999083</v>
      </c>
      <c r="Y16" s="1">
        <f t="shared" si="2"/>
        <v>91999.999999999083</v>
      </c>
      <c r="Z16" s="1">
        <f t="shared" si="2"/>
        <v>91999.999999998676</v>
      </c>
      <c r="AA16" s="1">
        <f t="shared" si="2"/>
        <v>91999.999999998297</v>
      </c>
      <c r="AB16" s="1">
        <f t="shared" si="2"/>
        <v>91999.999999998297</v>
      </c>
      <c r="AC16" s="1">
        <f t="shared" si="2"/>
        <v>91999.999999997905</v>
      </c>
      <c r="AD16" s="1">
        <f t="shared" si="2"/>
        <v>91999.999999997512</v>
      </c>
      <c r="AE16" s="1">
        <f t="shared" si="2"/>
        <v>91999.999999997512</v>
      </c>
      <c r="AF16" s="1">
        <f t="shared" si="2"/>
        <v>91999.99999999693</v>
      </c>
      <c r="AG16" s="1">
        <f t="shared" si="2"/>
        <v>91999.99999999693</v>
      </c>
      <c r="AH16" s="1">
        <f t="shared" si="2"/>
        <v>91999.999999996726</v>
      </c>
      <c r="AI16" s="1">
        <f t="shared" si="2"/>
        <v>91999.999999996726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15"/>
  <sheetViews>
    <sheetView tabSelected="1" topLeftCell="A4" zoomScale="80" zoomScaleNormal="80" workbookViewId="0">
      <selection activeCell="R29" sqref="R29"/>
    </sheetView>
  </sheetViews>
  <sheetFormatPr defaultRowHeight="15" x14ac:dyDescent="0.25"/>
  <cols>
    <col min="3" max="3" width="9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1500</v>
      </c>
      <c r="D6">
        <v>1500.2000000000003</v>
      </c>
    </row>
    <row r="7" spans="2:36" x14ac:dyDescent="0.25">
      <c r="B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2:36" x14ac:dyDescent="0.25">
      <c r="B12" s="2" t="s">
        <v>13</v>
      </c>
      <c r="C12" s="2">
        <v>300</v>
      </c>
      <c r="E12" t="s">
        <v>0</v>
      </c>
      <c r="F12" s="8">
        <v>0</v>
      </c>
      <c r="G12" s="10">
        <f>F12+$C$4</f>
        <v>3.3333333333333335E-3</v>
      </c>
      <c r="H12" s="10">
        <f t="shared" ref="H12:AJ12" si="0">G12+$C$4</f>
        <v>6.6666666666666671E-3</v>
      </c>
      <c r="I12" s="10">
        <f t="shared" si="0"/>
        <v>0.01</v>
      </c>
      <c r="J12" s="10">
        <f t="shared" si="0"/>
        <v>1.3333333333333334E-2</v>
      </c>
      <c r="K12" s="10">
        <f t="shared" si="0"/>
        <v>1.6666666666666666E-2</v>
      </c>
      <c r="L12" s="10">
        <f t="shared" si="0"/>
        <v>0.02</v>
      </c>
      <c r="M12" s="10">
        <f t="shared" si="0"/>
        <v>2.3333333333333334E-2</v>
      </c>
      <c r="N12" s="10">
        <f t="shared" si="0"/>
        <v>2.6666666666666668E-2</v>
      </c>
      <c r="O12" s="10">
        <f t="shared" si="0"/>
        <v>3.0000000000000002E-2</v>
      </c>
      <c r="P12" s="10">
        <f t="shared" si="0"/>
        <v>3.3333333333333333E-2</v>
      </c>
      <c r="Q12" s="10">
        <f t="shared" si="0"/>
        <v>3.6666666666666667E-2</v>
      </c>
      <c r="R12" s="10">
        <f t="shared" si="0"/>
        <v>0.04</v>
      </c>
      <c r="S12" s="10">
        <f t="shared" si="0"/>
        <v>4.3333333333333335E-2</v>
      </c>
      <c r="T12" s="10">
        <f t="shared" si="0"/>
        <v>4.6666666666666669E-2</v>
      </c>
      <c r="U12" s="10">
        <f t="shared" si="0"/>
        <v>0.05</v>
      </c>
      <c r="V12" s="10">
        <f t="shared" si="0"/>
        <v>5.3333333333333337E-2</v>
      </c>
      <c r="W12" s="10">
        <f t="shared" si="0"/>
        <v>5.6666666666666671E-2</v>
      </c>
      <c r="X12" s="10">
        <f t="shared" si="0"/>
        <v>6.0000000000000005E-2</v>
      </c>
      <c r="Y12" s="10">
        <f t="shared" si="0"/>
        <v>6.3333333333333339E-2</v>
      </c>
      <c r="Z12" s="10">
        <f t="shared" si="0"/>
        <v>6.6666666666666666E-2</v>
      </c>
      <c r="AA12" s="10">
        <f t="shared" si="0"/>
        <v>6.9999999999999993E-2</v>
      </c>
      <c r="AB12" s="10">
        <f t="shared" si="0"/>
        <v>7.333333333333332E-2</v>
      </c>
      <c r="AC12" s="10">
        <f t="shared" si="0"/>
        <v>7.6666666666666647E-2</v>
      </c>
      <c r="AD12" s="10">
        <f t="shared" si="0"/>
        <v>7.9999999999999974E-2</v>
      </c>
      <c r="AE12" s="10">
        <f t="shared" si="0"/>
        <v>8.3333333333333301E-2</v>
      </c>
      <c r="AF12" s="10">
        <f t="shared" si="0"/>
        <v>8.6666666666666628E-2</v>
      </c>
      <c r="AG12" s="10">
        <f t="shared" si="0"/>
        <v>8.9999999999999955E-2</v>
      </c>
      <c r="AH12" s="10">
        <f t="shared" si="0"/>
        <v>9.3333333333333282E-2</v>
      </c>
      <c r="AI12" s="10">
        <f t="shared" si="0"/>
        <v>9.6666666666666609E-2</v>
      </c>
      <c r="AJ12" s="10">
        <f t="shared" si="0"/>
        <v>9.9999999999999936E-2</v>
      </c>
    </row>
    <row r="13" spans="2:36" x14ac:dyDescent="0.25">
      <c r="B13" s="2" t="s">
        <v>9</v>
      </c>
      <c r="C13" s="2">
        <v>1200</v>
      </c>
      <c r="E13" t="s">
        <v>7</v>
      </c>
      <c r="F13">
        <f>(G13+$C$12*$C$14*$C$4/$C$10)/(1+$C$14*$C$4/$C$10)</f>
        <v>1034.8901342390145</v>
      </c>
      <c r="G13">
        <v>1040.2154250668334</v>
      </c>
      <c r="H13">
        <v>1045.5553408568494</v>
      </c>
      <c r="I13">
        <v>1050.9099385092586</v>
      </c>
      <c r="J13">
        <v>1056.2792264420495</v>
      </c>
      <c r="K13">
        <v>1061.6631645212569</v>
      </c>
      <c r="L13">
        <v>1067.0616642558305</v>
      </c>
      <c r="M13">
        <v>1072.4745890079989</v>
      </c>
      <c r="N13">
        <v>1077.9017545452841</v>
      </c>
      <c r="O13">
        <v>1083.3429295308267</v>
      </c>
      <c r="P13">
        <v>1088.7978364220337</v>
      </c>
      <c r="Q13">
        <v>1094.266152238175</v>
      </c>
      <c r="R13">
        <v>1099.7475097894994</v>
      </c>
      <c r="S13">
        <v>1105.2414987167417</v>
      </c>
      <c r="T13">
        <v>1110.7476670292872</v>
      </c>
      <c r="U13">
        <v>1116.2655224084178</v>
      </c>
      <c r="V13">
        <v>1121.7945340283707</v>
      </c>
      <c r="W13">
        <v>1127.3341341121941</v>
      </c>
      <c r="X13">
        <v>1132.8837200054224</v>
      </c>
      <c r="Y13">
        <v>1138.4426559703254</v>
      </c>
      <c r="Z13">
        <v>1144.0102754784796</v>
      </c>
      <c r="AA13">
        <v>1149.5858832260142</v>
      </c>
      <c r="AB13">
        <v>1155.1687576086467</v>
      </c>
      <c r="AC13">
        <v>1160.7581529372883</v>
      </c>
      <c r="AD13">
        <v>1166.3533020571622</v>
      </c>
      <c r="AE13">
        <v>1171.9534187398967</v>
      </c>
      <c r="AF13">
        <v>1177.5577004071581</v>
      </c>
      <c r="AG13">
        <v>1183.1653306721969</v>
      </c>
      <c r="AH13">
        <v>1188.7754821279859</v>
      </c>
      <c r="AI13">
        <v>1194.3873190081752</v>
      </c>
      <c r="AJ13">
        <f>C13</f>
        <v>1200</v>
      </c>
    </row>
    <row r="14" spans="2:36" x14ac:dyDescent="0.25">
      <c r="B14" s="2" t="s">
        <v>14</v>
      </c>
      <c r="C14" s="2">
        <v>100</v>
      </c>
    </row>
    <row r="15" spans="2:36" x14ac:dyDescent="0.25">
      <c r="E15" t="s">
        <v>10</v>
      </c>
      <c r="G15">
        <f>G13+(($C$10*$C$5)/($C$9*$C$8))*( (H13-2*G13+F13)/($C$4^2))</f>
        <v>1040.222737547932</v>
      </c>
      <c r="H15">
        <f t="shared" ref="G15:AI15" si="1">H13+(($C$10*$C$5)/($C$9*$C$8))*( (I13-2*H13+G13)/($C$4^2))</f>
        <v>1045.5626817880461</v>
      </c>
      <c r="I15">
        <f t="shared" si="1"/>
        <v>1050.9172836494495</v>
      </c>
      <c r="J15">
        <f t="shared" si="1"/>
        <v>1056.2865515152578</v>
      </c>
      <c r="K15">
        <f t="shared" si="1"/>
        <v>1061.6704453489401</v>
      </c>
      <c r="L15">
        <f t="shared" si="1"/>
        <v>1067.0688767646279</v>
      </c>
      <c r="M15">
        <f t="shared" si="1"/>
        <v>1072.4817094005573</v>
      </c>
      <c r="N15">
        <f t="shared" si="1"/>
        <v>1077.9087592694127</v>
      </c>
      <c r="O15">
        <f t="shared" si="1"/>
        <v>1083.3497954836589</v>
      </c>
      <c r="P15">
        <f t="shared" si="1"/>
        <v>1088.804540884501</v>
      </c>
      <c r="Q15">
        <f t="shared" si="1"/>
        <v>1094.2726731057664</v>
      </c>
      <c r="R15">
        <f t="shared" si="1"/>
        <v>1099.7538254774583</v>
      </c>
      <c r="S15">
        <f t="shared" si="1"/>
        <v>1105.2475884093933</v>
      </c>
      <c r="T15">
        <f t="shared" si="1"/>
        <v>1110.7535105625798</v>
      </c>
      <c r="U15">
        <f t="shared" si="1"/>
        <v>1116.2711005288288</v>
      </c>
      <c r="V15">
        <f t="shared" si="1"/>
        <v>1121.799828260306</v>
      </c>
      <c r="W15">
        <f t="shared" si="1"/>
        <v>1127.3391270168966</v>
      </c>
      <c r="X15">
        <f t="shared" si="1"/>
        <v>1132.8883950412596</v>
      </c>
      <c r="Y15">
        <f t="shared" si="1"/>
        <v>1138.446997741951</v>
      </c>
      <c r="Z15">
        <f t="shared" si="1"/>
        <v>1144.0142695981699</v>
      </c>
      <c r="AA15">
        <f t="shared" si="1"/>
        <v>1149.5895165435631</v>
      </c>
      <c r="AB15">
        <f t="shared" si="1"/>
        <v>1155.1720180816512</v>
      </c>
      <c r="AC15">
        <f t="shared" si="1"/>
        <v>1160.7610298329046</v>
      </c>
      <c r="AD15">
        <f t="shared" si="1"/>
        <v>1166.3557858385925</v>
      </c>
      <c r="AE15">
        <f t="shared" si="1"/>
        <v>1171.9555012321603</v>
      </c>
      <c r="AF15">
        <f t="shared" si="1"/>
        <v>1177.5593747060468</v>
      </c>
      <c r="AG15">
        <f t="shared" si="1"/>
        <v>1183.1665912675721</v>
      </c>
      <c r="AH15">
        <f t="shared" si="1"/>
        <v>1188.7763248401861</v>
      </c>
      <c r="AI15">
        <f t="shared" si="1"/>
        <v>1194.387741063993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2021-10-10T08:07:31Z</dcterms:modified>
</cp:coreProperties>
</file>